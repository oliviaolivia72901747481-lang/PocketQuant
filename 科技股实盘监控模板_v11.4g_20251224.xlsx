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n511\Desktop\VibeCoding\stock2\"/>
    </mc:Choice>
  </mc:AlternateContent>
  <xr:revisionPtr revIDLastSave="0" documentId="13_ncr:1_{3C2EDB53-BD57-4E6D-9CBC-E1DC2F4A3434}" xr6:coauthVersionLast="47" xr6:coauthVersionMax="47" xr10:uidLastSave="{00000000-0000-0000-0000-000000000000}"/>
  <bookViews>
    <workbookView xWindow="3900" yWindow="3900" windowWidth="19200" windowHeight="11170" xr2:uid="{00000000-000D-0000-FFFF-FFFF00000000}"/>
  </bookViews>
  <sheets>
    <sheet name="交易记录" sheetId="1" r:id="rId1"/>
    <sheet name="当前持仓" sheetId="2" r:id="rId2"/>
    <sheet name="绩效统计" sheetId="3" r:id="rId3"/>
    <sheet name="策略参数" sheetId="4" r:id="rId4"/>
    <sheet name="使用说明" sheetId="5" r:id="rId5"/>
    <sheet name="股票池" sheetId="6" r:id="rId6"/>
    <sheet name="参数速查卡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B10" i="3" l="1"/>
  <c r="Q11" i="2"/>
  <c r="P11" i="2"/>
  <c r="O11" i="2"/>
  <c r="N11" i="2"/>
  <c r="L11" i="2"/>
  <c r="I11" i="2"/>
  <c r="J11" i="2" s="1"/>
  <c r="G11" i="2"/>
  <c r="K11" i="2" s="1"/>
  <c r="Q10" i="2"/>
  <c r="P10" i="2"/>
  <c r="O10" i="2"/>
  <c r="N10" i="2"/>
  <c r="L10" i="2"/>
  <c r="I10" i="2"/>
  <c r="J10" i="2" s="1"/>
  <c r="G10" i="2"/>
  <c r="K10" i="2" s="1"/>
  <c r="Q9" i="2"/>
  <c r="P9" i="2"/>
  <c r="O9" i="2"/>
  <c r="N9" i="2"/>
  <c r="L9" i="2"/>
  <c r="K9" i="2"/>
  <c r="I9" i="2"/>
  <c r="J9" i="2" s="1"/>
  <c r="G9" i="2"/>
  <c r="Q8" i="2"/>
  <c r="P8" i="2"/>
  <c r="O8" i="2"/>
  <c r="N8" i="2"/>
  <c r="L8" i="2"/>
  <c r="J8" i="2"/>
  <c r="I8" i="2"/>
  <c r="G8" i="2"/>
  <c r="K8" i="2" s="1"/>
  <c r="Q7" i="2"/>
  <c r="P7" i="2"/>
  <c r="O7" i="2"/>
  <c r="N7" i="2"/>
  <c r="L7" i="2"/>
  <c r="K7" i="2"/>
  <c r="J7" i="2"/>
  <c r="I7" i="2"/>
  <c r="G7" i="2"/>
  <c r="Q6" i="2"/>
  <c r="P6" i="2"/>
  <c r="O6" i="2"/>
  <c r="N6" i="2"/>
  <c r="L6" i="2"/>
  <c r="K6" i="2"/>
  <c r="I6" i="2"/>
  <c r="J6" i="2" s="1"/>
  <c r="G6" i="2"/>
  <c r="Q5" i="2"/>
  <c r="P5" i="2"/>
  <c r="O5" i="2"/>
  <c r="N5" i="2"/>
  <c r="L5" i="2"/>
  <c r="K5" i="2"/>
  <c r="I5" i="2"/>
  <c r="J5" i="2" s="1"/>
  <c r="G5" i="2"/>
  <c r="Q4" i="2"/>
  <c r="P4" i="2"/>
  <c r="O4" i="2"/>
  <c r="N4" i="2"/>
  <c r="L4" i="2"/>
  <c r="I4" i="2"/>
  <c r="J4" i="2" s="1"/>
  <c r="G4" i="2"/>
  <c r="K4" i="2" s="1"/>
  <c r="Q3" i="2"/>
  <c r="P3" i="2"/>
  <c r="O3" i="2"/>
  <c r="N3" i="2"/>
  <c r="L3" i="2"/>
  <c r="K3" i="2"/>
  <c r="J3" i="2"/>
  <c r="I3" i="2"/>
  <c r="G3" i="2"/>
  <c r="Q2" i="2"/>
  <c r="P2" i="2"/>
  <c r="O2" i="2"/>
  <c r="N2" i="2"/>
  <c r="L2" i="2"/>
  <c r="I2" i="2"/>
  <c r="I13" i="2" s="1"/>
  <c r="B5" i="3" s="1"/>
  <c r="G2" i="2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K2" i="1"/>
  <c r="L2" i="1" s="1"/>
  <c r="G13" i="2" l="1"/>
  <c r="B3" i="3" s="1"/>
  <c r="B6" i="3" s="1"/>
  <c r="B7" i="3" s="1"/>
  <c r="J2" i="2"/>
  <c r="J13" i="2" s="1"/>
  <c r="K13" i="2" s="1"/>
  <c r="K2" i="2" l="1"/>
</calcChain>
</file>

<file path=xl/sharedStrings.xml><?xml version="1.0" encoding="utf-8"?>
<sst xmlns="http://schemas.openxmlformats.org/spreadsheetml/2006/main" count="429" uniqueCount="319">
  <si>
    <t>序号</t>
  </si>
  <si>
    <t>交易日期</t>
  </si>
  <si>
    <t>股票代码</t>
  </si>
  <si>
    <t>股票名称</t>
  </si>
  <si>
    <t>交易方向</t>
  </si>
  <si>
    <t>买入价格</t>
  </si>
  <si>
    <t>卖出价格</t>
  </si>
  <si>
    <t>股数</t>
  </si>
  <si>
    <t>买入金额</t>
  </si>
  <si>
    <t>卖出金额</t>
  </si>
  <si>
    <t>盈亏金额</t>
  </si>
  <si>
    <t>盈亏比例</t>
  </si>
  <si>
    <t>持仓天数</t>
  </si>
  <si>
    <t>卖出原因</t>
  </si>
  <si>
    <t>备注</t>
  </si>
  <si>
    <t>买入日期</t>
  </si>
  <si>
    <t>持仓股数</t>
  </si>
  <si>
    <t>当前价格</t>
  </si>
  <si>
    <t>当前市值</t>
  </si>
  <si>
    <t>浮动盈亏</t>
  </si>
  <si>
    <t>最高价</t>
  </si>
  <si>
    <t>最高盈利</t>
  </si>
  <si>
    <t>止损价</t>
  </si>
  <si>
    <t>止盈价</t>
  </si>
  <si>
    <t>移动止盈触发</t>
  </si>
  <si>
    <t>状态</t>
  </si>
  <si>
    <t>合计:</t>
  </si>
  <si>
    <t>账户概览</t>
  </si>
  <si>
    <t>初始资金</t>
  </si>
  <si>
    <t>当前总资产</t>
  </si>
  <si>
    <t>可用现金</t>
  </si>
  <si>
    <t>持仓市值</t>
  </si>
  <si>
    <t>累计盈亏</t>
  </si>
  <si>
    <t>累计收益率</t>
  </si>
  <si>
    <t>本月统计</t>
  </si>
  <si>
    <t>本月交易次数</t>
  </si>
  <si>
    <t>本月盈利次数</t>
  </si>
  <si>
    <t>本月亏损次数</t>
  </si>
  <si>
    <t>本月胜率</t>
  </si>
  <si>
    <t>本月盈亏</t>
  </si>
  <si>
    <t>月度绩效</t>
  </si>
  <si>
    <t>月份</t>
  </si>
  <si>
    <t>交易次数</t>
  </si>
  <si>
    <t>盈利次数</t>
  </si>
  <si>
    <t>亏损次数</t>
  </si>
  <si>
    <t>胜率</t>
  </si>
  <si>
    <t>总盈亏</t>
  </si>
  <si>
    <t>收益率</t>
  </si>
  <si>
    <t>最大回撤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</si>
  <si>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</si>
  <si>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</si>
  <si>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</si>
  <si>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</si>
  <si>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</si>
  <si>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</si>
  <si>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</si>
  <si>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</si>
  <si>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</si>
  <si>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</si>
  <si>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</si>
  <si>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</si>
  <si>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科技股策略 v11.4g 参数配置（平衡版）</t>
  </si>
  <si>
    <t>回测绩效：收益33.51% | 回撤-4.81% | 胜率24.5% | 收益/回撤比6.96</t>
  </si>
  <si>
    <t>仓位管理</t>
  </si>
  <si>
    <t>单只股票仓位</t>
  </si>
  <si>
    <t>11%</t>
  </si>
  <si>
    <t>控制单笔风险</t>
  </si>
  <si>
    <t>最大持仓数量</t>
  </si>
  <si>
    <t>5只</t>
  </si>
  <si>
    <t>分散风险</t>
  </si>
  <si>
    <t>止盈止损</t>
  </si>
  <si>
    <t>止损线</t>
  </si>
  <si>
    <t>-4.6%</t>
  </si>
  <si>
    <t>严格止损，控制亏损</t>
  </si>
  <si>
    <t>v11.4g调整</t>
  </si>
  <si>
    <t>止盈线</t>
  </si>
  <si>
    <t>+22%</t>
  </si>
  <si>
    <t>锁定利润</t>
  </si>
  <si>
    <t>+9%</t>
  </si>
  <si>
    <t>盈利9%后启动移动止盈</t>
  </si>
  <si>
    <t>移动止盈回撤</t>
  </si>
  <si>
    <t>2.8%</t>
  </si>
  <si>
    <t>从最高点回撤2.8%卖出</t>
  </si>
  <si>
    <t>最大持仓天数</t>
  </si>
  <si>
    <t>15天</t>
  </si>
  <si>
    <t>避免长期套牢</t>
  </si>
  <si>
    <t>买入条件</t>
  </si>
  <si>
    <t>MA金叉</t>
  </si>
  <si>
    <t>MA5上穿MA20</t>
  </si>
  <si>
    <t>趋势确认</t>
  </si>
  <si>
    <t>中期趋势</t>
  </si>
  <si>
    <t>股价&gt;MA60</t>
  </si>
  <si>
    <t>中期向上</t>
  </si>
  <si>
    <t>RSI范围</t>
  </si>
  <si>
    <t>44~70</t>
  </si>
  <si>
    <t>避免超买超卖</t>
  </si>
  <si>
    <t>MACD确认</t>
  </si>
  <si>
    <t>柱状图向上或为正</t>
  </si>
  <si>
    <t>动能确认</t>
  </si>
  <si>
    <t>成交量确认</t>
  </si>
  <si>
    <t>当日量&gt;5日均量×1.1</t>
  </si>
  <si>
    <t>放量确认</t>
  </si>
  <si>
    <t>信号强度门槛</t>
  </si>
  <si>
    <t>≥83</t>
  </si>
  <si>
    <t>只选择高质量信号</t>
  </si>
  <si>
    <t>v11.4g新增</t>
  </si>
  <si>
    <t>趋势过滤</t>
  </si>
  <si>
    <t>MA20斜率向上</t>
  </si>
  <si>
    <t>确保上升趋势</t>
  </si>
  <si>
    <t>价格位置</t>
  </si>
  <si>
    <t>价格&lt;MA5×1.05</t>
  </si>
  <si>
    <t>避免追高</t>
  </si>
  <si>
    <t>卖出条件</t>
  </si>
  <si>
    <t>止损</t>
  </si>
  <si>
    <t>亏损≥4.6%</t>
  </si>
  <si>
    <t>严格止损</t>
  </si>
  <si>
    <t>止盈</t>
  </si>
  <si>
    <t>盈利≥22%</t>
  </si>
  <si>
    <t>移动止盈</t>
  </si>
  <si>
    <t>盈利曾达9%，回撤2.8%</t>
  </si>
  <si>
    <t>保护利润</t>
  </si>
  <si>
    <t>RSI超买</t>
  </si>
  <si>
    <t>RSI&gt;80且盈利</t>
  </si>
  <si>
    <t>仅盈利时触发</t>
  </si>
  <si>
    <t>趋势反转</t>
  </si>
  <si>
    <t>MA5&lt;MA20且亏损</t>
  </si>
  <si>
    <t>趋势破坏</t>
  </si>
  <si>
    <t>持仓超时</t>
  </si>
  <si>
    <t>持仓≥15天</t>
  </si>
  <si>
    <t>避免套牢</t>
  </si>
  <si>
    <t>科技股实盘监控模板使用说明 v11.4g</t>
  </si>
  <si>
    <t>一、交易记录表</t>
  </si>
  <si>
    <t xml:space="preserve">   1. 每次买入/卖出后，在此表记录交易详情</t>
  </si>
  <si>
    <t xml:space="preserve">   2. 盈亏金额和盈亏比例会自动计算</t>
  </si>
  <si>
    <t xml:space="preserve">   3. 卖出原因请填写：止损/止盈/移动止盈/RSI超买/趋势反转/持仓超时</t>
  </si>
  <si>
    <t>二、当前持仓表</t>
  </si>
  <si>
    <t xml:space="preserve">   1. 买入后在此表添加持仓记录</t>
  </si>
  <si>
    <t xml:space="preserve">   2. 每日更新'当前价格'和'最高价'</t>
  </si>
  <si>
    <t xml:space="preserve">   3. 止损价(-4.6%)、止盈价(+22%)、移动止盈触发价(+9%)会自动计算</t>
  </si>
  <si>
    <t xml:space="preserve">   4. 当价格触及止损/止盈价时，执行卖出</t>
  </si>
  <si>
    <t xml:space="preserve">   5. 当最高盈利≥9%且当前盈利回撤2.8%时，执行移动止盈</t>
  </si>
  <si>
    <t>三、绩效统计表</t>
  </si>
  <si>
    <t xml:space="preserve">   1. 账户概览显示总体绩效</t>
  </si>
  <si>
    <t xml:space="preserve">   2. 月度绩效需手动汇总填写</t>
  </si>
  <si>
    <t xml:space="preserve">   3. 建议每月末进行绩效复盘</t>
  </si>
  <si>
    <t>四、策略参数表</t>
  </si>
  <si>
    <t xml:space="preserve">   1. 记录v11.4g策略的所有参数</t>
  </si>
  <si>
    <t xml:space="preserve">   2. 严格按照参数执行，不要主观判断</t>
  </si>
  <si>
    <t xml:space="preserve">   3. 绿色高亮项为v11.4g版本新增/调整的参数</t>
  </si>
  <si>
    <t>五、v11.4g版本核心改进</t>
  </si>
  <si>
    <t xml:space="preserve">   1. 止损从-4.5%调整为-4.6%（略放宽）</t>
  </si>
  <si>
    <t xml:space="preserve">   2. 止盈从+20%调整为+22%（提高目标）</t>
  </si>
  <si>
    <t xml:space="preserve">   3. RSI范围从55-80调整为44-70（更宽松）</t>
  </si>
  <si>
    <t xml:space="preserve">   4. 量比从1.5调整为1.1（降低门槛）</t>
  </si>
  <si>
    <t xml:space="preserve">   5. 新增信号强度门槛≥83（只选高质量信号）</t>
  </si>
  <si>
    <t xml:space="preserve">   6. 新增趋势过滤（MA20斜率向上）</t>
  </si>
  <si>
    <t xml:space="preserve">   7. 新增价格位置过滤（避免追高）</t>
  </si>
  <si>
    <t xml:space="preserve">   8. RSI超买卖出仅在盈利时触发</t>
  </si>
  <si>
    <t>六、操作流程</t>
  </si>
  <si>
    <t xml:space="preserve">   1. 每日开盘前：检查系统买入信号</t>
  </si>
  <si>
    <t xml:space="preserve">   2. 买入后：在'当前持仓'表添加记录</t>
  </si>
  <si>
    <t xml:space="preserve">   3. 每日收盘后：更新当前价格和最高价</t>
  </si>
  <si>
    <t xml:space="preserve">   4. 触发卖出条件时：执行卖出，记录到'交易记录'表</t>
  </si>
  <si>
    <t xml:space="preserve">   5. 每月末：汇总月度绩效</t>
  </si>
  <si>
    <t>七、风险提示</t>
  </si>
  <si>
    <t xml:space="preserve">   1. 严格执行止损，不要抱有侥幸心理</t>
  </si>
  <si>
    <t xml:space="preserve">   2. 单只股票仓位不超过11%</t>
  </si>
  <si>
    <t xml:space="preserve">   3. 最多同时持有5只股票</t>
  </si>
  <si>
    <t xml:space="preserve">   4. 股市有风险，投资需谨慎</t>
  </si>
  <si>
    <t>八、v11.4g回测绩效参考</t>
  </si>
  <si>
    <t xml:space="preserve">   - 回测周期：2022-12-26 ~ 2024-12-20（约2年）</t>
  </si>
  <si>
    <t xml:space="preserve">   - 总收益率：33.51%</t>
  </si>
  <si>
    <t xml:space="preserve">   - 最大回撤：-4.81%（远低于15%警戒线）</t>
  </si>
  <si>
    <t xml:space="preserve">   - 胜率：24.5%</t>
  </si>
  <si>
    <t xml:space="preserve">   - 收益/回撤比：6.96（优秀）</t>
  </si>
  <si>
    <t xml:space="preserve">   - 月均交易：11.6次</t>
  </si>
  <si>
    <t>科技股股票池（60只）</t>
  </si>
  <si>
    <t>所属行业</t>
  </si>
  <si>
    <t>002371</t>
  </si>
  <si>
    <t>北方华创</t>
  </si>
  <si>
    <t>半导体</t>
  </si>
  <si>
    <t>688981</t>
  </si>
  <si>
    <t>中芯国际</t>
  </si>
  <si>
    <t>002049</t>
  </si>
  <si>
    <t>紫光国微</t>
  </si>
  <si>
    <t>603501</t>
  </si>
  <si>
    <t>韦尔股份</t>
  </si>
  <si>
    <t>688012</t>
  </si>
  <si>
    <t>中微公司</t>
  </si>
  <si>
    <t>688008</t>
  </si>
  <si>
    <t>澜起科技</t>
  </si>
  <si>
    <t>002185</t>
  </si>
  <si>
    <t>华天科技</t>
  </si>
  <si>
    <t>600584</t>
  </si>
  <si>
    <t>长电科技</t>
  </si>
  <si>
    <t>002156</t>
  </si>
  <si>
    <t>通富微电</t>
  </si>
  <si>
    <t>688396</t>
  </si>
  <si>
    <t>华润微</t>
  </si>
  <si>
    <t>603986</t>
  </si>
  <si>
    <t>兆易创新</t>
  </si>
  <si>
    <t>300782</t>
  </si>
  <si>
    <t>卓胜微</t>
  </si>
  <si>
    <t>688733</t>
  </si>
  <si>
    <t>壁仞科技</t>
  </si>
  <si>
    <t>688205</t>
  </si>
  <si>
    <t>德科立</t>
  </si>
  <si>
    <t>300456</t>
  </si>
  <si>
    <t>赛微电子</t>
  </si>
  <si>
    <t>300308</t>
  </si>
  <si>
    <t>中际旭创</t>
  </si>
  <si>
    <t>AI应用</t>
  </si>
  <si>
    <t>002415</t>
  </si>
  <si>
    <t>海康威视</t>
  </si>
  <si>
    <t>300496</t>
  </si>
  <si>
    <t>中科创达</t>
  </si>
  <si>
    <t>002230</t>
  </si>
  <si>
    <t>科大讯飞</t>
  </si>
  <si>
    <t>300033</t>
  </si>
  <si>
    <t>同花顺</t>
  </si>
  <si>
    <t>688099</t>
  </si>
  <si>
    <t>晶晨股份</t>
  </si>
  <si>
    <t>300454</t>
  </si>
  <si>
    <t>深信服</t>
  </si>
  <si>
    <t>002410</t>
  </si>
  <si>
    <t>广联达</t>
  </si>
  <si>
    <t>300418</t>
  </si>
  <si>
    <t>昆仑万维</t>
  </si>
  <si>
    <t>688561</t>
  </si>
  <si>
    <t>奇安信</t>
  </si>
  <si>
    <t>300045</t>
  </si>
  <si>
    <t>华力创通</t>
  </si>
  <si>
    <t>300236</t>
  </si>
  <si>
    <t>上海新阳</t>
  </si>
  <si>
    <t>300739</t>
  </si>
  <si>
    <t>明阳智能</t>
  </si>
  <si>
    <t>000977</t>
  </si>
  <si>
    <t>浪潮信息</t>
  </si>
  <si>
    <t>算力</t>
  </si>
  <si>
    <t>603019</t>
  </si>
  <si>
    <t>中科曙光</t>
  </si>
  <si>
    <t>688256</t>
  </si>
  <si>
    <t>寒武纪</t>
  </si>
  <si>
    <t>002439</t>
  </si>
  <si>
    <t>启明星辰</t>
  </si>
  <si>
    <t>002916</t>
  </si>
  <si>
    <t>深南电路</t>
  </si>
  <si>
    <t>300474</t>
  </si>
  <si>
    <t>景嘉微</t>
  </si>
  <si>
    <t>688126</t>
  </si>
  <si>
    <t>沪硅产业</t>
  </si>
  <si>
    <t>688041</t>
  </si>
  <si>
    <t>海光信息</t>
  </si>
  <si>
    <t>300118</t>
  </si>
  <si>
    <t>东方日升</t>
  </si>
  <si>
    <t>300731</t>
  </si>
  <si>
    <t>科创信息</t>
  </si>
  <si>
    <t>603703</t>
  </si>
  <si>
    <t>盛洋科技</t>
  </si>
  <si>
    <t>002600</t>
  </si>
  <si>
    <t>长盈精密</t>
  </si>
  <si>
    <t>消费电子</t>
  </si>
  <si>
    <t>002475</t>
  </si>
  <si>
    <t>立讯精密</t>
  </si>
  <si>
    <t>601138</t>
  </si>
  <si>
    <t>工业富联</t>
  </si>
  <si>
    <t>002241</t>
  </si>
  <si>
    <t>歌尔股份</t>
  </si>
  <si>
    <t>300433</t>
  </si>
  <si>
    <t>蓝思科技</t>
  </si>
  <si>
    <t>002456</t>
  </si>
  <si>
    <t>欧菲光</t>
  </si>
  <si>
    <t>002008</t>
  </si>
  <si>
    <t>大族激光</t>
  </si>
  <si>
    <t>300136</t>
  </si>
  <si>
    <t>信维通信</t>
  </si>
  <si>
    <t>002273</t>
  </si>
  <si>
    <t>水晶光电</t>
  </si>
  <si>
    <t>300115</t>
  </si>
  <si>
    <t>300358</t>
  </si>
  <si>
    <t>楚天科技</t>
  </si>
  <si>
    <t>300435</t>
  </si>
  <si>
    <t>中泰股份</t>
  </si>
  <si>
    <t>002044</t>
  </si>
  <si>
    <t>美年健康</t>
  </si>
  <si>
    <t>002228</t>
  </si>
  <si>
    <t>合兴包装</t>
  </si>
  <si>
    <t>300750</t>
  </si>
  <si>
    <t>宁德时代</t>
  </si>
  <si>
    <t>新能源科技</t>
  </si>
  <si>
    <t>000063</t>
  </si>
  <si>
    <t>中兴通讯</t>
  </si>
  <si>
    <t>300900</t>
  </si>
  <si>
    <t>广联航空</t>
  </si>
  <si>
    <t>300963</t>
  </si>
  <si>
    <t>中洲特材</t>
  </si>
  <si>
    <t>603169</t>
  </si>
  <si>
    <t>兰石重装</t>
  </si>
  <si>
    <t>603528</t>
  </si>
  <si>
    <t>多伦科技</t>
  </si>
  <si>
    <t>科技股策略 v11.4g 参数速查卡</t>
  </si>
  <si>
    <t>【止损止盈】</t>
  </si>
  <si>
    <t>【仓位管理】</t>
  </si>
  <si>
    <t>单只仓位</t>
  </si>
  <si>
    <t>最大持仓</t>
  </si>
  <si>
    <t>【买入条件】</t>
  </si>
  <si>
    <t>MA5&gt;MA20</t>
  </si>
  <si>
    <t>价格&gt;MA60</t>
  </si>
  <si>
    <t>量比</t>
  </si>
  <si>
    <t>&gt;1.1</t>
  </si>
  <si>
    <t>信号强度</t>
  </si>
  <si>
    <t>MA20斜率↑</t>
  </si>
  <si>
    <t>&lt;MA5×1.05</t>
  </si>
  <si>
    <t>【卖出条件】</t>
  </si>
  <si>
    <t>曾达9%回撤2.8%</t>
  </si>
  <si>
    <t>≥15天</t>
  </si>
  <si>
    <t>002008</t>
    <phoneticPr fontId="7" type="noConversion"/>
  </si>
  <si>
    <t>大族激光</t>
    <phoneticPr fontId="7" type="noConversion"/>
  </si>
  <si>
    <t>买进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</si>
</sst>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2"/>
      <color rgb="FFFFFFFF"/>
      <name val="宋体"/>
      <family val="3"/>
      <charset val="134"/>
    </font>
    <font>
      <b/>
      <sz val="11"/>
      <name val="宋体"/>
      <family val="3"/>
      <charset val="134"/>
    </font>
    <font>
      <b/>
      <sz val="14"/>
      <name val="宋体"/>
      <family val="3"/>
      <charset val="134"/>
    </font>
    <font>
      <i/>
      <sz val="11"/>
      <color rgb="FF666666"/>
      <name val="宋体"/>
      <family val="3"/>
      <charset val="134"/>
    </font>
    <font>
      <b/>
      <sz val="12"/>
      <color rgb="FF2E75B6"/>
      <name val="宋体"/>
      <family val="3"/>
      <charset val="134"/>
    </font>
    <font>
      <b/>
      <sz val="16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0" fontId="0" fillId="0" borderId="0" xfId="0" applyNumberForma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0" fillId="3" borderId="0" xfId="0" applyFill="1"/>
    <xf numFmtId="0" fontId="5" fillId="3" borderId="0" xfId="0" applyFont="1" applyFill="1"/>
    <xf numFmtId="0" fontId="5" fillId="4" borderId="0" xfId="0" applyFont="1" applyFill="1"/>
    <xf numFmtId="0" fontId="3" fillId="0" borderId="0" xfId="0" applyFont="1"/>
    <xf numFmtId="0" fontId="0" fillId="0" borderId="0" xfId="0"/>
    <xf numFmtId="0" fontId="4" fillId="0" borderId="0" xfId="0" applyFont="1"/>
    <xf numFmtId="0" fontId="6" fillId="0" borderId="0" xfId="0" applyFont="1"/>
    <xf numFmtId="14" fontId="0" fillId="0" borderId="0" xfId="0" applyNumberForma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workbookViewId="0">
      <pane ySplit="1" topLeftCell="A2" activePane="bottomLeft" state="frozen"/>
      <selection pane="bottomLeft" activeCell="N2" sqref="N2"/>
    </sheetView>
  </sheetViews>
  <sheetFormatPr defaultRowHeight="14" x14ac:dyDescent="0.25"/>
  <cols>
    <col min="1" max="1" width="6" customWidth="1"/>
    <col min="2" max="2" width="12" customWidth="1"/>
    <col min="3" max="3" width="10" customWidth="1"/>
    <col min="4" max="4" width="12" customWidth="1"/>
    <col min="5" max="7" width="10" customWidth="1"/>
    <col min="8" max="8" width="8" customWidth="1"/>
    <col min="9" max="11" width="12" customWidth="1"/>
    <col min="12" max="13" width="10" customWidth="1"/>
    <col min="14" max="14" width="15" customWidth="1"/>
    <col min="15" max="15" width="20" customWidth="1"/>
  </cols>
  <sheetData>
    <row r="1" spans="1:1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s="13">
        <v>46015</v>
      </c>
      <c r="C2" s="14" t="s">
        <v>316</v>
      </c>
      <c r="D2" t="s">
        <v>317</v>
      </c>
      <c r="E2" t="s">
        <v>318</v>
      </c>
      <c r="F2">
        <v>40.933</v>
      </c>
      <c r="G2">
        <v>41.58</v>
      </c>
      <c r="H2">
        <v>400</v>
      </c>
      <c r="I2">
        <f>F2*H2</f>
        <v>16373.2</v>
      </c>
      <c r="J2">
        <f>G2*H2</f>
        <v>16632</v>
      </c>
      <c r="K2">
        <f t="shared" ref="K2:K33" si="0">IF(J2&lt;&gt;"",J2-I2,"")</f>
        <v>258.79999999999927</v>
      </c>
      <c r="L2" s="2">
        <f t="shared" ref="L2:L33" si="1">IF(I2&lt;&gt;"",K2/I2,"")</f>
        <v>1.5806317641023089E-2</v>
      </c>
      <c r="M2">
        <v>0</v>
      </c>
    </row>
    <row r="3" spans="1:15" x14ac:dyDescent="0.25">
      <c r="A3">
        <v>2</v>
      </c>
      <c r="K3" t="str">
        <f t="shared" si="0"/>
        <v/>
      </c>
      <c r="L3" s="2" t="str">
        <f t="shared" si="1"/>
        <v/>
      </c>
    </row>
    <row r="4" spans="1:15" x14ac:dyDescent="0.25">
      <c r="A4">
        <v>3</v>
      </c>
      <c r="K4" t="str">
        <f t="shared" si="0"/>
        <v/>
      </c>
      <c r="L4" s="2" t="str">
        <f t="shared" si="1"/>
        <v/>
      </c>
    </row>
    <row r="5" spans="1:15" x14ac:dyDescent="0.25">
      <c r="A5">
        <v>4</v>
      </c>
      <c r="K5" t="str">
        <f t="shared" si="0"/>
        <v/>
      </c>
      <c r="L5" s="2" t="str">
        <f t="shared" si="1"/>
        <v/>
      </c>
    </row>
    <row r="6" spans="1:15" x14ac:dyDescent="0.25">
      <c r="A6">
        <v>5</v>
      </c>
      <c r="K6" t="str">
        <f t="shared" si="0"/>
        <v/>
      </c>
      <c r="L6" s="2" t="str">
        <f t="shared" si="1"/>
        <v/>
      </c>
    </row>
    <row r="7" spans="1:15" x14ac:dyDescent="0.25">
      <c r="A7">
        <v>6</v>
      </c>
      <c r="K7" t="str">
        <f t="shared" si="0"/>
        <v/>
      </c>
      <c r="L7" s="2" t="str">
        <f t="shared" si="1"/>
        <v/>
      </c>
    </row>
    <row r="8" spans="1:15" x14ac:dyDescent="0.25">
      <c r="A8">
        <v>7</v>
      </c>
      <c r="K8" t="str">
        <f t="shared" si="0"/>
        <v/>
      </c>
      <c r="L8" s="2" t="str">
        <f t="shared" si="1"/>
        <v/>
      </c>
    </row>
    <row r="9" spans="1:15" x14ac:dyDescent="0.25">
      <c r="A9">
        <v>8</v>
      </c>
      <c r="K9" t="str">
        <f t="shared" si="0"/>
        <v/>
      </c>
      <c r="L9" s="2" t="str">
        <f t="shared" si="1"/>
        <v/>
      </c>
    </row>
    <row r="10" spans="1:15" x14ac:dyDescent="0.25">
      <c r="A10">
        <v>9</v>
      </c>
      <c r="K10" t="str">
        <f t="shared" si="0"/>
        <v/>
      </c>
      <c r="L10" s="2" t="str">
        <f t="shared" si="1"/>
        <v/>
      </c>
    </row>
    <row r="11" spans="1:15" x14ac:dyDescent="0.25">
      <c r="A11">
        <v>10</v>
      </c>
      <c r="K11" t="str">
        <f t="shared" si="0"/>
        <v/>
      </c>
      <c r="L11" s="2" t="str">
        <f t="shared" si="1"/>
        <v/>
      </c>
    </row>
    <row r="12" spans="1:15" x14ac:dyDescent="0.25">
      <c r="A12">
        <v>11</v>
      </c>
      <c r="K12" t="str">
        <f t="shared" si="0"/>
        <v/>
      </c>
      <c r="L12" s="2" t="str">
        <f t="shared" si="1"/>
        <v/>
      </c>
    </row>
    <row r="13" spans="1:15" x14ac:dyDescent="0.25">
      <c r="A13">
        <v>12</v>
      </c>
      <c r="K13" t="str">
        <f t="shared" si="0"/>
        <v/>
      </c>
      <c r="L13" s="2" t="str">
        <f t="shared" si="1"/>
        <v/>
      </c>
    </row>
    <row r="14" spans="1:15" x14ac:dyDescent="0.25">
      <c r="A14">
        <v>13</v>
      </c>
      <c r="K14" t="str">
        <f t="shared" si="0"/>
        <v/>
      </c>
      <c r="L14" s="2" t="str">
        <f t="shared" si="1"/>
        <v/>
      </c>
    </row>
    <row r="15" spans="1:15" x14ac:dyDescent="0.25">
      <c r="A15">
        <v>14</v>
      </c>
      <c r="K15" t="str">
        <f t="shared" si="0"/>
        <v/>
      </c>
      <c r="L15" s="2" t="str">
        <f t="shared" si="1"/>
        <v/>
      </c>
    </row>
    <row r="16" spans="1:15" x14ac:dyDescent="0.25">
      <c r="A16">
        <v>15</v>
      </c>
      <c r="K16" t="str">
        <f t="shared" si="0"/>
        <v/>
      </c>
      <c r="L16" s="2" t="str">
        <f t="shared" si="1"/>
        <v/>
      </c>
    </row>
    <row r="17" spans="1:12" x14ac:dyDescent="0.25">
      <c r="A17">
        <v>16</v>
      </c>
      <c r="K17" t="str">
        <f t="shared" si="0"/>
        <v/>
      </c>
      <c r="L17" s="2" t="str">
        <f t="shared" si="1"/>
        <v/>
      </c>
    </row>
    <row r="18" spans="1:12" x14ac:dyDescent="0.25">
      <c r="A18">
        <v>17</v>
      </c>
      <c r="K18" t="str">
        <f t="shared" si="0"/>
        <v/>
      </c>
      <c r="L18" s="2" t="str">
        <f t="shared" si="1"/>
        <v/>
      </c>
    </row>
    <row r="19" spans="1:12" x14ac:dyDescent="0.25">
      <c r="A19">
        <v>18</v>
      </c>
      <c r="K19" t="str">
        <f t="shared" si="0"/>
        <v/>
      </c>
      <c r="L19" s="2" t="str">
        <f t="shared" si="1"/>
        <v/>
      </c>
    </row>
    <row r="20" spans="1:12" x14ac:dyDescent="0.25">
      <c r="A20">
        <v>19</v>
      </c>
      <c r="K20" t="str">
        <f t="shared" si="0"/>
        <v/>
      </c>
      <c r="L20" s="2" t="str">
        <f t="shared" si="1"/>
        <v/>
      </c>
    </row>
    <row r="21" spans="1:12" x14ac:dyDescent="0.25">
      <c r="A21">
        <v>20</v>
      </c>
      <c r="K21" t="str">
        <f t="shared" si="0"/>
        <v/>
      </c>
      <c r="L21" s="2" t="str">
        <f t="shared" si="1"/>
        <v/>
      </c>
    </row>
    <row r="22" spans="1:12" x14ac:dyDescent="0.25">
      <c r="A22">
        <v>21</v>
      </c>
      <c r="K22" t="str">
        <f t="shared" si="0"/>
        <v/>
      </c>
      <c r="L22" s="2" t="str">
        <f t="shared" si="1"/>
        <v/>
      </c>
    </row>
    <row r="23" spans="1:12" x14ac:dyDescent="0.25">
      <c r="A23">
        <v>22</v>
      </c>
      <c r="K23" t="str">
        <f t="shared" si="0"/>
        <v/>
      </c>
      <c r="L23" s="2" t="str">
        <f t="shared" si="1"/>
        <v/>
      </c>
    </row>
    <row r="24" spans="1:12" x14ac:dyDescent="0.25">
      <c r="A24">
        <v>23</v>
      </c>
      <c r="K24" t="str">
        <f t="shared" si="0"/>
        <v/>
      </c>
      <c r="L24" s="2" t="str">
        <f t="shared" si="1"/>
        <v/>
      </c>
    </row>
    <row r="25" spans="1:12" x14ac:dyDescent="0.25">
      <c r="A25">
        <v>24</v>
      </c>
      <c r="K25" t="str">
        <f t="shared" si="0"/>
        <v/>
      </c>
      <c r="L25" s="2" t="str">
        <f t="shared" si="1"/>
        <v/>
      </c>
    </row>
    <row r="26" spans="1:12" x14ac:dyDescent="0.25">
      <c r="A26">
        <v>25</v>
      </c>
      <c r="K26" t="str">
        <f t="shared" si="0"/>
        <v/>
      </c>
      <c r="L26" s="2" t="str">
        <f t="shared" si="1"/>
        <v/>
      </c>
    </row>
    <row r="27" spans="1:12" x14ac:dyDescent="0.25">
      <c r="A27">
        <v>26</v>
      </c>
      <c r="K27" t="str">
        <f t="shared" si="0"/>
        <v/>
      </c>
      <c r="L27" s="2" t="str">
        <f t="shared" si="1"/>
        <v/>
      </c>
    </row>
    <row r="28" spans="1:12" x14ac:dyDescent="0.25">
      <c r="A28">
        <v>27</v>
      </c>
      <c r="K28" t="str">
        <f t="shared" si="0"/>
        <v/>
      </c>
      <c r="L28" s="2" t="str">
        <f t="shared" si="1"/>
        <v/>
      </c>
    </row>
    <row r="29" spans="1:12" x14ac:dyDescent="0.25">
      <c r="A29">
        <v>28</v>
      </c>
      <c r="K29" t="str">
        <f t="shared" si="0"/>
        <v/>
      </c>
      <c r="L29" s="2" t="str">
        <f t="shared" si="1"/>
        <v/>
      </c>
    </row>
    <row r="30" spans="1:12" x14ac:dyDescent="0.25">
      <c r="A30">
        <v>29</v>
      </c>
      <c r="K30" t="str">
        <f t="shared" si="0"/>
        <v/>
      </c>
      <c r="L30" s="2" t="str">
        <f t="shared" si="1"/>
        <v/>
      </c>
    </row>
    <row r="31" spans="1:12" x14ac:dyDescent="0.25">
      <c r="A31">
        <v>30</v>
      </c>
      <c r="K31" t="str">
        <f t="shared" si="0"/>
        <v/>
      </c>
      <c r="L31" s="2" t="str">
        <f t="shared" si="1"/>
        <v/>
      </c>
    </row>
    <row r="32" spans="1:12" x14ac:dyDescent="0.25">
      <c r="A32">
        <v>31</v>
      </c>
      <c r="K32" t="str">
        <f t="shared" si="0"/>
        <v/>
      </c>
      <c r="L32" s="2" t="str">
        <f t="shared" si="1"/>
        <v/>
      </c>
    </row>
    <row r="33" spans="1:12" x14ac:dyDescent="0.25">
      <c r="A33">
        <v>32</v>
      </c>
      <c r="K33" t="str">
        <f t="shared" si="0"/>
        <v/>
      </c>
      <c r="L33" s="2" t="str">
        <f t="shared" si="1"/>
        <v/>
      </c>
    </row>
    <row r="34" spans="1:12" x14ac:dyDescent="0.25">
      <c r="A34">
        <v>33</v>
      </c>
      <c r="K34" t="str">
        <f t="shared" ref="K34:K65" si="2">IF(J34&lt;&gt;"",J34-I34,"")</f>
        <v/>
      </c>
      <c r="L34" s="2" t="str">
        <f t="shared" ref="L34:L65" si="3">IF(I34&lt;&gt;"",K34/I34,"")</f>
        <v/>
      </c>
    </row>
    <row r="35" spans="1:12" x14ac:dyDescent="0.25">
      <c r="A35">
        <v>34</v>
      </c>
      <c r="K35" t="str">
        <f t="shared" si="2"/>
        <v/>
      </c>
      <c r="L35" s="2" t="str">
        <f t="shared" si="3"/>
        <v/>
      </c>
    </row>
    <row r="36" spans="1:12" x14ac:dyDescent="0.25">
      <c r="A36">
        <v>35</v>
      </c>
      <c r="K36" t="str">
        <f t="shared" si="2"/>
        <v/>
      </c>
      <c r="L36" s="2" t="str">
        <f t="shared" si="3"/>
        <v/>
      </c>
    </row>
    <row r="37" spans="1:12" x14ac:dyDescent="0.25">
      <c r="A37">
        <v>36</v>
      </c>
      <c r="K37" t="str">
        <f t="shared" si="2"/>
        <v/>
      </c>
      <c r="L37" s="2" t="str">
        <f t="shared" si="3"/>
        <v/>
      </c>
    </row>
    <row r="38" spans="1:12" x14ac:dyDescent="0.25">
      <c r="A38">
        <v>37</v>
      </c>
      <c r="K38" t="str">
        <f t="shared" si="2"/>
        <v/>
      </c>
      <c r="L38" s="2" t="str">
        <f t="shared" si="3"/>
        <v/>
      </c>
    </row>
    <row r="39" spans="1:12" x14ac:dyDescent="0.25">
      <c r="A39">
        <v>38</v>
      </c>
      <c r="K39" t="str">
        <f t="shared" si="2"/>
        <v/>
      </c>
      <c r="L39" s="2" t="str">
        <f t="shared" si="3"/>
        <v/>
      </c>
    </row>
    <row r="40" spans="1:12" x14ac:dyDescent="0.25">
      <c r="A40">
        <v>39</v>
      </c>
      <c r="K40" t="str">
        <f t="shared" si="2"/>
        <v/>
      </c>
      <c r="L40" s="2" t="str">
        <f t="shared" si="3"/>
        <v/>
      </c>
    </row>
    <row r="41" spans="1:12" x14ac:dyDescent="0.25">
      <c r="A41">
        <v>40</v>
      </c>
      <c r="K41" t="str">
        <f t="shared" si="2"/>
        <v/>
      </c>
      <c r="L41" s="2" t="str">
        <f t="shared" si="3"/>
        <v/>
      </c>
    </row>
    <row r="42" spans="1:12" x14ac:dyDescent="0.25">
      <c r="A42">
        <v>41</v>
      </c>
      <c r="K42" t="str">
        <f t="shared" si="2"/>
        <v/>
      </c>
      <c r="L42" s="2" t="str">
        <f t="shared" si="3"/>
        <v/>
      </c>
    </row>
    <row r="43" spans="1:12" x14ac:dyDescent="0.25">
      <c r="A43">
        <v>42</v>
      </c>
      <c r="K43" t="str">
        <f t="shared" si="2"/>
        <v/>
      </c>
      <c r="L43" s="2" t="str">
        <f t="shared" si="3"/>
        <v/>
      </c>
    </row>
    <row r="44" spans="1:12" x14ac:dyDescent="0.25">
      <c r="A44">
        <v>43</v>
      </c>
      <c r="K44" t="str">
        <f t="shared" si="2"/>
        <v/>
      </c>
      <c r="L44" s="2" t="str">
        <f t="shared" si="3"/>
        <v/>
      </c>
    </row>
    <row r="45" spans="1:12" x14ac:dyDescent="0.25">
      <c r="A45">
        <v>44</v>
      </c>
      <c r="K45" t="str">
        <f t="shared" si="2"/>
        <v/>
      </c>
      <c r="L45" s="2" t="str">
        <f t="shared" si="3"/>
        <v/>
      </c>
    </row>
    <row r="46" spans="1:12" x14ac:dyDescent="0.25">
      <c r="A46">
        <v>45</v>
      </c>
      <c r="K46" t="str">
        <f t="shared" si="2"/>
        <v/>
      </c>
      <c r="L46" s="2" t="str">
        <f t="shared" si="3"/>
        <v/>
      </c>
    </row>
    <row r="47" spans="1:12" x14ac:dyDescent="0.25">
      <c r="A47">
        <v>46</v>
      </c>
      <c r="K47" t="str">
        <f t="shared" si="2"/>
        <v/>
      </c>
      <c r="L47" s="2" t="str">
        <f t="shared" si="3"/>
        <v/>
      </c>
    </row>
    <row r="48" spans="1:12" x14ac:dyDescent="0.25">
      <c r="A48">
        <v>47</v>
      </c>
      <c r="K48" t="str">
        <f t="shared" si="2"/>
        <v/>
      </c>
      <c r="L48" s="2" t="str">
        <f t="shared" si="3"/>
        <v/>
      </c>
    </row>
    <row r="49" spans="1:12" x14ac:dyDescent="0.25">
      <c r="A49">
        <v>48</v>
      </c>
      <c r="K49" t="str">
        <f t="shared" si="2"/>
        <v/>
      </c>
      <c r="L49" s="2" t="str">
        <f t="shared" si="3"/>
        <v/>
      </c>
    </row>
    <row r="50" spans="1:12" x14ac:dyDescent="0.25">
      <c r="A50">
        <v>49</v>
      </c>
      <c r="K50" t="str">
        <f t="shared" si="2"/>
        <v/>
      </c>
      <c r="L50" s="2" t="str">
        <f t="shared" si="3"/>
        <v/>
      </c>
    </row>
    <row r="51" spans="1:12" x14ac:dyDescent="0.25">
      <c r="A51">
        <v>50</v>
      </c>
      <c r="K51" t="str">
        <f t="shared" si="2"/>
        <v/>
      </c>
      <c r="L51" s="2" t="str">
        <f t="shared" si="3"/>
        <v/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3"/>
  <sheetViews>
    <sheetView workbookViewId="0">
      <pane ySplit="1" topLeftCell="A2" activePane="bottomLeft" state="frozen"/>
      <selection pane="bottomLeft" activeCell="M2" sqref="M2"/>
    </sheetView>
  </sheetViews>
  <sheetFormatPr defaultRowHeight="14" x14ac:dyDescent="0.25"/>
  <cols>
    <col min="1" max="1" width="6" customWidth="1"/>
    <col min="2" max="2" width="10" customWidth="1"/>
    <col min="3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6" width="10" customWidth="1"/>
    <col min="17" max="17" width="12" customWidth="1"/>
    <col min="18" max="18" width="10" customWidth="1"/>
    <col min="19" max="19" width="15" customWidth="1"/>
  </cols>
  <sheetData>
    <row r="1" spans="1:19" ht="30" x14ac:dyDescent="0.25">
      <c r="A1" s="1" t="s">
        <v>0</v>
      </c>
      <c r="B1" s="1" t="s">
        <v>2</v>
      </c>
      <c r="C1" s="1" t="s">
        <v>3</v>
      </c>
      <c r="D1" s="1" t="s">
        <v>15</v>
      </c>
      <c r="E1" s="1" t="s">
        <v>5</v>
      </c>
      <c r="F1" s="1" t="s">
        <v>16</v>
      </c>
      <c r="G1" s="1" t="s">
        <v>8</v>
      </c>
      <c r="H1" s="1" t="s">
        <v>17</v>
      </c>
      <c r="I1" s="1" t="s">
        <v>18</v>
      </c>
      <c r="J1" s="1" t="s">
        <v>19</v>
      </c>
      <c r="K1" s="1" t="s">
        <v>11</v>
      </c>
      <c r="L1" s="1" t="s">
        <v>12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14</v>
      </c>
    </row>
    <row r="2" spans="1:19" x14ac:dyDescent="0.25">
      <c r="A2">
        <v>1</v>
      </c>
      <c r="B2" s="14" t="s">
        <v>316</v>
      </c>
      <c r="C2" t="s">
        <v>317</v>
      </c>
      <c r="D2" s="13">
        <v>46015</v>
      </c>
      <c r="E2">
        <v>40.933</v>
      </c>
      <c r="F2">
        <v>400</v>
      </c>
      <c r="G2">
        <f t="shared" ref="G2:G11" si="0">IF(E2&lt;&gt;"",E2*F2,"")</f>
        <v>16373.2</v>
      </c>
      <c r="H2">
        <v>41.58</v>
      </c>
      <c r="I2">
        <f t="shared" ref="I2:I11" si="1">IF(H2&lt;&gt;"",H2*F2,"")</f>
        <v>16632</v>
      </c>
      <c r="J2">
        <f t="shared" ref="J2:J11" si="2">IF(I2&lt;&gt;"",I2-G2,"")</f>
        <v>258.79999999999927</v>
      </c>
      <c r="K2" s="2">
        <f t="shared" ref="K2:K11" si="3">IF(G2&lt;&gt;"",J2/G2,"")</f>
        <v>1.5806317641023089E-2</v>
      </c>
      <c r="L2">
        <f t="shared" ref="L2:L11" ca="1" si="4">IF(D2&lt;&gt;"",TODAY()-D2,"")</f>
        <v>0</v>
      </c>
      <c r="N2" s="2" t="str">
        <f t="shared" ref="N2:N11" si="5">IF(M2&lt;&gt;"",(M2-E2)/E2,"")</f>
        <v/>
      </c>
      <c r="O2">
        <f t="shared" ref="O2:O11" si="6">IF(E2&lt;&gt;"",E2*0.954,"")</f>
        <v>39.050081999999996</v>
      </c>
      <c r="P2">
        <f t="shared" ref="P2:P11" si="7">IF(E2&lt;&gt;"",E2*1.22,"")</f>
        <v>49.93826</v>
      </c>
      <c r="Q2">
        <f t="shared" ref="Q2:Q11" si="8">IF(E2&lt;&gt;"",E2*1.09,"")</f>
        <v>44.616970000000002</v>
      </c>
    </row>
    <row r="3" spans="1:19" x14ac:dyDescent="0.25">
      <c r="A3">
        <v>2</v>
      </c>
      <c r="G3" t="str">
        <f t="shared" si="0"/>
        <v/>
      </c>
      <c r="I3" t="str">
        <f t="shared" si="1"/>
        <v/>
      </c>
      <c r="J3" t="str">
        <f t="shared" si="2"/>
        <v/>
      </c>
      <c r="K3" s="2" t="str">
        <f t="shared" si="3"/>
        <v/>
      </c>
      <c r="L3" t="str">
        <f t="shared" ca="1" si="4"/>
        <v/>
      </c>
      <c r="N3" s="2" t="str">
        <f t="shared" si="5"/>
        <v/>
      </c>
      <c r="O3" t="str">
        <f t="shared" si="6"/>
        <v/>
      </c>
      <c r="P3" t="str">
        <f t="shared" si="7"/>
        <v/>
      </c>
      <c r="Q3" t="str">
        <f t="shared" si="8"/>
        <v/>
      </c>
    </row>
    <row r="4" spans="1:19" x14ac:dyDescent="0.25">
      <c r="A4">
        <v>3</v>
      </c>
      <c r="G4" t="str">
        <f t="shared" si="0"/>
        <v/>
      </c>
      <c r="I4" t="str">
        <f t="shared" si="1"/>
        <v/>
      </c>
      <c r="J4" t="str">
        <f t="shared" si="2"/>
        <v/>
      </c>
      <c r="K4" s="2" t="str">
        <f t="shared" si="3"/>
        <v/>
      </c>
      <c r="L4" t="str">
        <f t="shared" ca="1" si="4"/>
        <v/>
      </c>
      <c r="N4" s="2" t="str">
        <f t="shared" si="5"/>
        <v/>
      </c>
      <c r="O4" t="str">
        <f t="shared" si="6"/>
        <v/>
      </c>
      <c r="P4" t="str">
        <f t="shared" si="7"/>
        <v/>
      </c>
      <c r="Q4" t="str">
        <f t="shared" si="8"/>
        <v/>
      </c>
    </row>
    <row r="5" spans="1:19" x14ac:dyDescent="0.25">
      <c r="A5">
        <v>4</v>
      </c>
      <c r="G5" t="str">
        <f t="shared" si="0"/>
        <v/>
      </c>
      <c r="I5" t="str">
        <f t="shared" si="1"/>
        <v/>
      </c>
      <c r="J5" t="str">
        <f t="shared" si="2"/>
        <v/>
      </c>
      <c r="K5" s="2" t="str">
        <f t="shared" si="3"/>
        <v/>
      </c>
      <c r="L5" t="str">
        <f t="shared" ca="1" si="4"/>
        <v/>
      </c>
      <c r="N5" s="2" t="str">
        <f t="shared" si="5"/>
        <v/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9" x14ac:dyDescent="0.25">
      <c r="A6">
        <v>5</v>
      </c>
      <c r="G6" t="str">
        <f t="shared" si="0"/>
        <v/>
      </c>
      <c r="I6" t="str">
        <f t="shared" si="1"/>
        <v/>
      </c>
      <c r="J6" t="str">
        <f t="shared" si="2"/>
        <v/>
      </c>
      <c r="K6" s="2" t="str">
        <f t="shared" si="3"/>
        <v/>
      </c>
      <c r="L6" t="str">
        <f t="shared" ca="1" si="4"/>
        <v/>
      </c>
      <c r="N6" s="2" t="str">
        <f t="shared" si="5"/>
        <v/>
      </c>
      <c r="O6" t="str">
        <f t="shared" si="6"/>
        <v/>
      </c>
      <c r="P6" t="str">
        <f t="shared" si="7"/>
        <v/>
      </c>
      <c r="Q6" t="str">
        <f t="shared" si="8"/>
        <v/>
      </c>
    </row>
    <row r="7" spans="1:19" x14ac:dyDescent="0.25">
      <c r="A7">
        <v>6</v>
      </c>
      <c r="G7" t="str">
        <f t="shared" si="0"/>
        <v/>
      </c>
      <c r="I7" t="str">
        <f t="shared" si="1"/>
        <v/>
      </c>
      <c r="J7" t="str">
        <f t="shared" si="2"/>
        <v/>
      </c>
      <c r="K7" s="2" t="str">
        <f t="shared" si="3"/>
        <v/>
      </c>
      <c r="L7" t="str">
        <f t="shared" ca="1" si="4"/>
        <v/>
      </c>
      <c r="N7" s="2" t="str">
        <f t="shared" si="5"/>
        <v/>
      </c>
      <c r="O7" t="str">
        <f t="shared" si="6"/>
        <v/>
      </c>
      <c r="P7" t="str">
        <f t="shared" si="7"/>
        <v/>
      </c>
      <c r="Q7" t="str">
        <f t="shared" si="8"/>
        <v/>
      </c>
    </row>
    <row r="8" spans="1:19" x14ac:dyDescent="0.25">
      <c r="A8">
        <v>7</v>
      </c>
      <c r="G8" t="str">
        <f t="shared" si="0"/>
        <v/>
      </c>
      <c r="I8" t="str">
        <f t="shared" si="1"/>
        <v/>
      </c>
      <c r="J8" t="str">
        <f t="shared" si="2"/>
        <v/>
      </c>
      <c r="K8" s="2" t="str">
        <f t="shared" si="3"/>
        <v/>
      </c>
      <c r="L8" t="str">
        <f t="shared" ca="1" si="4"/>
        <v/>
      </c>
      <c r="N8" s="2" t="str">
        <f t="shared" si="5"/>
        <v/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9" x14ac:dyDescent="0.25">
      <c r="A9">
        <v>8</v>
      </c>
      <c r="G9" t="str">
        <f t="shared" si="0"/>
        <v/>
      </c>
      <c r="I9" t="str">
        <f t="shared" si="1"/>
        <v/>
      </c>
      <c r="J9" t="str">
        <f t="shared" si="2"/>
        <v/>
      </c>
      <c r="K9" s="2" t="str">
        <f t="shared" si="3"/>
        <v/>
      </c>
      <c r="L9" t="str">
        <f t="shared" ca="1" si="4"/>
        <v/>
      </c>
      <c r="N9" s="2" t="str">
        <f t="shared" si="5"/>
        <v/>
      </c>
      <c r="O9" t="str">
        <f t="shared" si="6"/>
        <v/>
      </c>
      <c r="P9" t="str">
        <f t="shared" si="7"/>
        <v/>
      </c>
      <c r="Q9" t="str">
        <f t="shared" si="8"/>
        <v/>
      </c>
    </row>
    <row r="10" spans="1:19" x14ac:dyDescent="0.25">
      <c r="A10">
        <v>9</v>
      </c>
      <c r="G10" t="str">
        <f t="shared" si="0"/>
        <v/>
      </c>
      <c r="I10" t="str">
        <f t="shared" si="1"/>
        <v/>
      </c>
      <c r="J10" t="str">
        <f t="shared" si="2"/>
        <v/>
      </c>
      <c r="K10" s="2" t="str">
        <f t="shared" si="3"/>
        <v/>
      </c>
      <c r="L10" t="str">
        <f t="shared" ca="1" si="4"/>
        <v/>
      </c>
      <c r="N10" s="2" t="str">
        <f t="shared" si="5"/>
        <v/>
      </c>
      <c r="O10" t="str">
        <f t="shared" si="6"/>
        <v/>
      </c>
      <c r="P10" t="str">
        <f t="shared" si="7"/>
        <v/>
      </c>
      <c r="Q10" t="str">
        <f t="shared" si="8"/>
        <v/>
      </c>
    </row>
    <row r="11" spans="1:19" x14ac:dyDescent="0.25">
      <c r="A11">
        <v>10</v>
      </c>
      <c r="G11" t="str">
        <f t="shared" si="0"/>
        <v/>
      </c>
      <c r="I11" t="str">
        <f t="shared" si="1"/>
        <v/>
      </c>
      <c r="J11" t="str">
        <f t="shared" si="2"/>
        <v/>
      </c>
      <c r="K11" s="2" t="str">
        <f t="shared" si="3"/>
        <v/>
      </c>
      <c r="L11" t="str">
        <f t="shared" ca="1" si="4"/>
        <v/>
      </c>
      <c r="N11" s="2" t="str">
        <f t="shared" si="5"/>
        <v/>
      </c>
      <c r="O11" t="str">
        <f t="shared" si="6"/>
        <v/>
      </c>
      <c r="P11" t="str">
        <f t="shared" si="7"/>
        <v/>
      </c>
      <c r="Q11" t="str">
        <f t="shared" si="8"/>
        <v/>
      </c>
    </row>
    <row r="13" spans="1:19" x14ac:dyDescent="0.25">
      <c r="F13" s="3" t="s">
        <v>26</v>
      </c>
      <c r="G13">
        <f>SUM(G2:G11)</f>
        <v>16373.2</v>
      </c>
      <c r="I13">
        <f>SUM(I2:I11)</f>
        <v>16632</v>
      </c>
      <c r="J13">
        <f>SUM(J2:J11)</f>
        <v>258.79999999999927</v>
      </c>
      <c r="K13" s="2">
        <f>IF(G13&lt;&gt;"",J13/G13,"")</f>
        <v>1.5806317641023089E-2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topLeftCell="A9" workbookViewId="0">
      <selection sqref="A1:D1"/>
    </sheetView>
  </sheetViews>
  <sheetFormatPr defaultRowHeight="14" x14ac:dyDescent="0.25"/>
  <sheetData>
    <row r="1" spans="1:4" ht="17.5" x14ac:dyDescent="0.3">
      <c r="A1" s="9" t="s">
        <v>27</v>
      </c>
      <c r="B1" s="10"/>
      <c r="C1" s="10"/>
      <c r="D1" s="10"/>
    </row>
    <row r="2" spans="1:4" x14ac:dyDescent="0.25">
      <c r="A2" s="3" t="s">
        <v>28</v>
      </c>
      <c r="B2">
        <v>100000</v>
      </c>
    </row>
    <row r="3" spans="1:4" x14ac:dyDescent="0.25">
      <c r="A3" s="3" t="s">
        <v>29</v>
      </c>
      <c r="B3">
        <f>当前持仓!G13+B4</f>
        <v>16373.2</v>
      </c>
    </row>
    <row r="4" spans="1:4" x14ac:dyDescent="0.25">
      <c r="A4" s="3" t="s">
        <v>30</v>
      </c>
    </row>
    <row r="5" spans="1:4" x14ac:dyDescent="0.25">
      <c r="A5" s="3" t="s">
        <v>31</v>
      </c>
      <c r="B5">
        <f>当前持仓!I13</f>
        <v>16632</v>
      </c>
    </row>
    <row r="6" spans="1:4" x14ac:dyDescent="0.25">
      <c r="A6" s="3" t="s">
        <v>32</v>
      </c>
      <c r="B6">
        <f>B3-B2</f>
        <v>-83626.8</v>
      </c>
    </row>
    <row r="7" spans="1:4" x14ac:dyDescent="0.25">
      <c r="A7" s="3" t="s">
        <v>33</v>
      </c>
      <c r="B7" s="2">
        <f>B6/B2</f>
        <v>-0.83626800000000001</v>
      </c>
    </row>
    <row r="8" spans="1:4" x14ac:dyDescent="0.25">
      <c r="A8" s="3"/>
    </row>
    <row r="9" spans="1:4" x14ac:dyDescent="0.25">
      <c r="A9" s="3" t="s">
        <v>34</v>
      </c>
    </row>
    <row r="10" spans="1:4" x14ac:dyDescent="0.25">
      <c r="A10" s="3" t="s">
        <v>35</v>
      </c>
      <c r="B10">
        <f ca="1">COUNTIF(交易记录!B:B,"&gt;="&amp;DATE(YEAR(TODAY()),MONTH(TODAY()),1))</f>
        <v>1</v>
      </c>
    </row>
    <row r="11" spans="1:4" x14ac:dyDescent="0.25">
      <c r="A11" s="3" t="s">
        <v>36</v>
      </c>
    </row>
    <row r="12" spans="1:4" x14ac:dyDescent="0.25">
      <c r="A12" s="3" t="s">
        <v>37</v>
      </c>
    </row>
    <row r="13" spans="1:4" x14ac:dyDescent="0.25">
      <c r="A13" s="3" t="s">
        <v>38</v>
      </c>
    </row>
    <row r="14" spans="1:4" x14ac:dyDescent="0.25">
      <c r="A14" s="3" t="s">
        <v>39</v>
      </c>
    </row>
    <row r="16" spans="1:4" ht="17.5" x14ac:dyDescent="0.3">
      <c r="A16" s="4" t="s">
        <v>40</v>
      </c>
    </row>
    <row r="17" spans="1:8" ht="30" x14ac:dyDescent="0.25">
      <c r="A17" s="1" t="s">
        <v>41</v>
      </c>
      <c r="B17" s="1" t="s">
        <v>42</v>
      </c>
      <c r="C17" s="1" t="s">
        <v>43</v>
      </c>
      <c r="D17" s="1" t="s">
        <v>44</v>
      </c>
      <c r="E17" s="1" t="s">
        <v>45</v>
      </c>
      <c r="F17" s="1" t="s">
        <v>46</v>
      </c>
      <c r="G17" s="1" t="s">
        <v>47</v>
      </c>
      <c r="H17" s="1" t="s">
        <v>48</v>
      </c>
    </row>
    <row r="18" spans="1:8" x14ac:dyDescent="0.25">
      <c r="A18" t="s">
        <v>49</v>
      </c>
    </row>
    <row r="19" spans="1:8" x14ac:dyDescent="0.25">
      <c r="A19" t="s">
        <v>50</v>
      </c>
    </row>
    <row r="20" spans="1:8" x14ac:dyDescent="0.25">
      <c r="A20" t="s">
        <v>51</v>
      </c>
    </row>
    <row r="21" spans="1:8" x14ac:dyDescent="0.25">
      <c r="A21" t="s">
        <v>52</v>
      </c>
    </row>
    <row r="22" spans="1:8" x14ac:dyDescent="0.25">
      <c r="A22" t="s">
        <v>53</v>
      </c>
    </row>
    <row r="23" spans="1:8" x14ac:dyDescent="0.25">
      <c r="A23" t="s">
        <v>54</v>
      </c>
    </row>
    <row r="24" spans="1:8" x14ac:dyDescent="0.25">
      <c r="A24" t="s">
        <v>55</v>
      </c>
    </row>
    <row r="25" spans="1:8" x14ac:dyDescent="0.25">
      <c r="A25" t="s">
        <v>56</v>
      </c>
    </row>
    <row r="26" spans="1:8" x14ac:dyDescent="0.25">
      <c r="A26" t="s">
        <v>57</v>
      </c>
    </row>
    <row r="27" spans="1:8" x14ac:dyDescent="0.25">
      <c r="A27" t="s">
        <v>58</v>
      </c>
    </row>
    <row r="28" spans="1:8" x14ac:dyDescent="0.25">
      <c r="A28" t="s">
        <v>59</v>
      </c>
    </row>
    <row r="29" spans="1:8" x14ac:dyDescent="0.25">
      <c r="A29" t="s">
        <v>60</v>
      </c>
    </row>
  </sheetData>
  <mergeCells count="1">
    <mergeCell ref="A1:D1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topLeftCell="A6" workbookViewId="0">
      <selection sqref="A1:D1"/>
    </sheetView>
  </sheetViews>
  <sheetFormatPr defaultRowHeight="14" x14ac:dyDescent="0.25"/>
  <cols>
    <col min="1" max="1" width="18" customWidth="1"/>
    <col min="2" max="3" width="25" customWidth="1"/>
    <col min="4" max="4" width="15" customWidth="1"/>
  </cols>
  <sheetData>
    <row r="1" spans="1:4" ht="17.5" x14ac:dyDescent="0.3">
      <c r="A1" s="9" t="s">
        <v>61</v>
      </c>
      <c r="B1" s="10"/>
      <c r="C1" s="10"/>
      <c r="D1" s="10"/>
    </row>
    <row r="2" spans="1:4" x14ac:dyDescent="0.25">
      <c r="A2" s="11" t="s">
        <v>62</v>
      </c>
      <c r="B2" s="10"/>
      <c r="C2" s="10"/>
      <c r="D2" s="10"/>
    </row>
    <row r="4" spans="1:4" ht="15" x14ac:dyDescent="0.25">
      <c r="A4" s="5" t="s">
        <v>63</v>
      </c>
    </row>
    <row r="5" spans="1:4" x14ac:dyDescent="0.25">
      <c r="A5" t="s">
        <v>64</v>
      </c>
      <c r="B5" t="s">
        <v>65</v>
      </c>
      <c r="C5" t="s">
        <v>66</v>
      </c>
    </row>
    <row r="6" spans="1:4" x14ac:dyDescent="0.25">
      <c r="A6" t="s">
        <v>67</v>
      </c>
      <c r="B6" t="s">
        <v>68</v>
      </c>
      <c r="C6" t="s">
        <v>69</v>
      </c>
    </row>
    <row r="8" spans="1:4" ht="15" x14ac:dyDescent="0.25">
      <c r="A8" s="5" t="s">
        <v>70</v>
      </c>
    </row>
    <row r="9" spans="1:4" x14ac:dyDescent="0.25">
      <c r="A9" t="s">
        <v>71</v>
      </c>
      <c r="B9" t="s">
        <v>72</v>
      </c>
      <c r="C9" t="s">
        <v>73</v>
      </c>
      <c r="D9" t="s">
        <v>74</v>
      </c>
    </row>
    <row r="10" spans="1:4" x14ac:dyDescent="0.25">
      <c r="A10" t="s">
        <v>75</v>
      </c>
      <c r="B10" t="s">
        <v>76</v>
      </c>
      <c r="C10" t="s">
        <v>77</v>
      </c>
      <c r="D10" t="s">
        <v>74</v>
      </c>
    </row>
    <row r="11" spans="1:4" x14ac:dyDescent="0.25">
      <c r="A11" t="s">
        <v>24</v>
      </c>
      <c r="B11" t="s">
        <v>78</v>
      </c>
      <c r="C11" t="s">
        <v>79</v>
      </c>
    </row>
    <row r="12" spans="1:4" x14ac:dyDescent="0.25">
      <c r="A12" s="6" t="s">
        <v>80</v>
      </c>
      <c r="B12" s="6" t="s">
        <v>81</v>
      </c>
      <c r="C12" s="6" t="s">
        <v>82</v>
      </c>
      <c r="D12" s="6"/>
    </row>
    <row r="13" spans="1:4" x14ac:dyDescent="0.25">
      <c r="A13" s="6" t="s">
        <v>83</v>
      </c>
      <c r="B13" s="6" t="s">
        <v>84</v>
      </c>
      <c r="C13" s="6" t="s">
        <v>85</v>
      </c>
      <c r="D13" s="6"/>
    </row>
    <row r="15" spans="1:4" ht="15" x14ac:dyDescent="0.25">
      <c r="A15" s="5" t="s">
        <v>86</v>
      </c>
    </row>
    <row r="16" spans="1:4" x14ac:dyDescent="0.25">
      <c r="A16" t="s">
        <v>87</v>
      </c>
      <c r="B16" t="s">
        <v>88</v>
      </c>
      <c r="C16" t="s">
        <v>89</v>
      </c>
    </row>
    <row r="17" spans="1:4" x14ac:dyDescent="0.25">
      <c r="A17" t="s">
        <v>90</v>
      </c>
      <c r="B17" t="s">
        <v>91</v>
      </c>
      <c r="C17" t="s">
        <v>92</v>
      </c>
    </row>
    <row r="18" spans="1:4" x14ac:dyDescent="0.25">
      <c r="A18" t="s">
        <v>93</v>
      </c>
      <c r="B18" t="s">
        <v>94</v>
      </c>
      <c r="C18" t="s">
        <v>95</v>
      </c>
      <c r="D18" t="s">
        <v>74</v>
      </c>
    </row>
    <row r="19" spans="1:4" x14ac:dyDescent="0.25">
      <c r="A19" t="s">
        <v>96</v>
      </c>
      <c r="B19" t="s">
        <v>97</v>
      </c>
      <c r="C19" t="s">
        <v>98</v>
      </c>
    </row>
    <row r="20" spans="1:4" x14ac:dyDescent="0.25">
      <c r="A20" t="s">
        <v>99</v>
      </c>
      <c r="B20" t="s">
        <v>100</v>
      </c>
      <c r="C20" t="s">
        <v>101</v>
      </c>
      <c r="D20" t="s">
        <v>74</v>
      </c>
    </row>
    <row r="21" spans="1:4" x14ac:dyDescent="0.25">
      <c r="A21" s="6" t="s">
        <v>102</v>
      </c>
      <c r="B21" s="6" t="s">
        <v>103</v>
      </c>
      <c r="C21" s="6" t="s">
        <v>104</v>
      </c>
      <c r="D21" s="6" t="s">
        <v>105</v>
      </c>
    </row>
    <row r="22" spans="1:4" x14ac:dyDescent="0.25">
      <c r="A22" t="s">
        <v>106</v>
      </c>
      <c r="B22" t="s">
        <v>107</v>
      </c>
      <c r="C22" t="s">
        <v>108</v>
      </c>
      <c r="D22" t="s">
        <v>105</v>
      </c>
    </row>
    <row r="23" spans="1:4" x14ac:dyDescent="0.25">
      <c r="A23" s="6" t="s">
        <v>109</v>
      </c>
      <c r="B23" s="6" t="s">
        <v>110</v>
      </c>
      <c r="C23" s="6" t="s">
        <v>111</v>
      </c>
      <c r="D23" s="6" t="s">
        <v>105</v>
      </c>
    </row>
    <row r="24" spans="1:4" x14ac:dyDescent="0.25">
      <c r="A24" s="6"/>
      <c r="B24" s="6"/>
      <c r="C24" s="6"/>
      <c r="D24" s="6"/>
    </row>
    <row r="25" spans="1:4" ht="15" x14ac:dyDescent="0.25">
      <c r="A25" s="7" t="s">
        <v>112</v>
      </c>
      <c r="B25" s="6"/>
      <c r="C25" s="6"/>
      <c r="D25" s="6"/>
    </row>
    <row r="26" spans="1:4" x14ac:dyDescent="0.25">
      <c r="A26" s="6" t="s">
        <v>113</v>
      </c>
      <c r="B26" s="6" t="s">
        <v>114</v>
      </c>
      <c r="C26" s="6" t="s">
        <v>115</v>
      </c>
      <c r="D26" s="6" t="s">
        <v>74</v>
      </c>
    </row>
    <row r="27" spans="1:4" x14ac:dyDescent="0.25">
      <c r="A27" t="s">
        <v>116</v>
      </c>
      <c r="B27" t="s">
        <v>117</v>
      </c>
      <c r="C27" t="s">
        <v>77</v>
      </c>
      <c r="D27" t="s">
        <v>74</v>
      </c>
    </row>
    <row r="28" spans="1:4" x14ac:dyDescent="0.25">
      <c r="A28" t="s">
        <v>118</v>
      </c>
      <c r="B28" t="s">
        <v>119</v>
      </c>
      <c r="C28" t="s">
        <v>120</v>
      </c>
    </row>
    <row r="29" spans="1:4" x14ac:dyDescent="0.25">
      <c r="A29" s="6" t="s">
        <v>121</v>
      </c>
      <c r="B29" s="6" t="s">
        <v>122</v>
      </c>
      <c r="C29" s="6" t="s">
        <v>123</v>
      </c>
      <c r="D29" s="6" t="s">
        <v>74</v>
      </c>
    </row>
    <row r="30" spans="1:4" x14ac:dyDescent="0.25">
      <c r="A30" s="6" t="s">
        <v>124</v>
      </c>
      <c r="B30" s="6" t="s">
        <v>125</v>
      </c>
      <c r="C30" s="6" t="s">
        <v>126</v>
      </c>
      <c r="D30" s="6"/>
    </row>
    <row r="31" spans="1:4" x14ac:dyDescent="0.25">
      <c r="A31" t="s">
        <v>127</v>
      </c>
      <c r="B31" t="s">
        <v>128</v>
      </c>
      <c r="C31" t="s">
        <v>129</v>
      </c>
    </row>
    <row r="32" spans="1:4" x14ac:dyDescent="0.25">
      <c r="A32" s="6"/>
      <c r="B32" s="6"/>
      <c r="C32" s="6"/>
      <c r="D32" s="6"/>
    </row>
  </sheetData>
  <mergeCells count="2">
    <mergeCell ref="A1:D1"/>
    <mergeCell ref="A2:D2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5"/>
  <sheetViews>
    <sheetView workbookViewId="0">
      <selection sqref="A1:D1"/>
    </sheetView>
  </sheetViews>
  <sheetFormatPr defaultRowHeight="14" x14ac:dyDescent="0.25"/>
  <cols>
    <col min="1" max="1" width="80" customWidth="1"/>
  </cols>
  <sheetData>
    <row r="1" spans="1:4" ht="21" x14ac:dyDescent="0.4">
      <c r="A1" s="12" t="s">
        <v>130</v>
      </c>
      <c r="B1" s="10"/>
      <c r="C1" s="10"/>
      <c r="D1" s="10"/>
    </row>
    <row r="4" spans="1:4" x14ac:dyDescent="0.25">
      <c r="A4" t="s">
        <v>131</v>
      </c>
    </row>
    <row r="5" spans="1:4" x14ac:dyDescent="0.25">
      <c r="A5" t="s">
        <v>132</v>
      </c>
    </row>
    <row r="6" spans="1:4" x14ac:dyDescent="0.25">
      <c r="A6" t="s">
        <v>133</v>
      </c>
    </row>
    <row r="7" spans="1:4" x14ac:dyDescent="0.25">
      <c r="A7" t="s">
        <v>134</v>
      </c>
    </row>
    <row r="9" spans="1:4" x14ac:dyDescent="0.25">
      <c r="A9" t="s">
        <v>135</v>
      </c>
    </row>
    <row r="10" spans="1:4" x14ac:dyDescent="0.25">
      <c r="A10" t="s">
        <v>136</v>
      </c>
    </row>
    <row r="11" spans="1:4" x14ac:dyDescent="0.25">
      <c r="A11" t="s">
        <v>137</v>
      </c>
    </row>
    <row r="12" spans="1:4" x14ac:dyDescent="0.25">
      <c r="A12" t="s">
        <v>138</v>
      </c>
    </row>
    <row r="13" spans="1:4" x14ac:dyDescent="0.25">
      <c r="A13" t="s">
        <v>139</v>
      </c>
    </row>
    <row r="14" spans="1:4" x14ac:dyDescent="0.25">
      <c r="A14" t="s">
        <v>140</v>
      </c>
    </row>
    <row r="16" spans="1:4" x14ac:dyDescent="0.25">
      <c r="A16" t="s">
        <v>141</v>
      </c>
    </row>
    <row r="17" spans="1:1" x14ac:dyDescent="0.25">
      <c r="A17" t="s">
        <v>142</v>
      </c>
    </row>
    <row r="18" spans="1:1" x14ac:dyDescent="0.25">
      <c r="A18" t="s">
        <v>143</v>
      </c>
    </row>
    <row r="19" spans="1:1" x14ac:dyDescent="0.25">
      <c r="A19" t="s">
        <v>144</v>
      </c>
    </row>
    <row r="21" spans="1:1" x14ac:dyDescent="0.25">
      <c r="A21" t="s">
        <v>145</v>
      </c>
    </row>
    <row r="22" spans="1:1" x14ac:dyDescent="0.25">
      <c r="A22" t="s">
        <v>146</v>
      </c>
    </row>
    <row r="23" spans="1:1" x14ac:dyDescent="0.25">
      <c r="A23" t="s">
        <v>147</v>
      </c>
    </row>
    <row r="24" spans="1:1" x14ac:dyDescent="0.25">
      <c r="A24" t="s">
        <v>148</v>
      </c>
    </row>
    <row r="26" spans="1:1" x14ac:dyDescent="0.25">
      <c r="A26" t="s">
        <v>149</v>
      </c>
    </row>
    <row r="27" spans="1:1" x14ac:dyDescent="0.25">
      <c r="A27" t="s">
        <v>150</v>
      </c>
    </row>
    <row r="28" spans="1:1" x14ac:dyDescent="0.25">
      <c r="A28" t="s">
        <v>151</v>
      </c>
    </row>
    <row r="29" spans="1:1" x14ac:dyDescent="0.25">
      <c r="A29" t="s">
        <v>152</v>
      </c>
    </row>
    <row r="30" spans="1:1" x14ac:dyDescent="0.25">
      <c r="A30" t="s">
        <v>153</v>
      </c>
    </row>
    <row r="31" spans="1:1" x14ac:dyDescent="0.25">
      <c r="A31" t="s">
        <v>154</v>
      </c>
    </row>
    <row r="32" spans="1:1" x14ac:dyDescent="0.25">
      <c r="A32" t="s">
        <v>155</v>
      </c>
    </row>
    <row r="33" spans="1:1" x14ac:dyDescent="0.25">
      <c r="A33" t="s">
        <v>156</v>
      </c>
    </row>
    <row r="34" spans="1:1" x14ac:dyDescent="0.25">
      <c r="A34" t="s">
        <v>157</v>
      </c>
    </row>
    <row r="36" spans="1:1" x14ac:dyDescent="0.25">
      <c r="A36" t="s">
        <v>158</v>
      </c>
    </row>
    <row r="37" spans="1:1" x14ac:dyDescent="0.25">
      <c r="A37" t="s">
        <v>159</v>
      </c>
    </row>
    <row r="38" spans="1:1" x14ac:dyDescent="0.25">
      <c r="A38" t="s">
        <v>160</v>
      </c>
    </row>
    <row r="39" spans="1:1" x14ac:dyDescent="0.25">
      <c r="A39" t="s">
        <v>161</v>
      </c>
    </row>
    <row r="40" spans="1:1" x14ac:dyDescent="0.25">
      <c r="A40" t="s">
        <v>162</v>
      </c>
    </row>
    <row r="41" spans="1:1" x14ac:dyDescent="0.25">
      <c r="A41" t="s">
        <v>163</v>
      </c>
    </row>
    <row r="43" spans="1:1" x14ac:dyDescent="0.25">
      <c r="A43" t="s">
        <v>164</v>
      </c>
    </row>
    <row r="44" spans="1:1" x14ac:dyDescent="0.25">
      <c r="A44" t="s">
        <v>165</v>
      </c>
    </row>
    <row r="45" spans="1:1" x14ac:dyDescent="0.25">
      <c r="A45" t="s">
        <v>166</v>
      </c>
    </row>
    <row r="46" spans="1:1" x14ac:dyDescent="0.25">
      <c r="A46" t="s">
        <v>167</v>
      </c>
    </row>
    <row r="47" spans="1:1" x14ac:dyDescent="0.25">
      <c r="A47" t="s">
        <v>168</v>
      </c>
    </row>
    <row r="49" spans="1:1" x14ac:dyDescent="0.25">
      <c r="A49" t="s">
        <v>169</v>
      </c>
    </row>
    <row r="50" spans="1:1" x14ac:dyDescent="0.25">
      <c r="A50" t="s">
        <v>170</v>
      </c>
    </row>
    <row r="51" spans="1:1" x14ac:dyDescent="0.25">
      <c r="A51" t="s">
        <v>171</v>
      </c>
    </row>
    <row r="52" spans="1:1" x14ac:dyDescent="0.25">
      <c r="A52" t="s">
        <v>172</v>
      </c>
    </row>
    <row r="53" spans="1:1" x14ac:dyDescent="0.25">
      <c r="A53" t="s">
        <v>173</v>
      </c>
    </row>
    <row r="54" spans="1:1" x14ac:dyDescent="0.25">
      <c r="A54" t="s">
        <v>174</v>
      </c>
    </row>
    <row r="55" spans="1:1" x14ac:dyDescent="0.25">
      <c r="A55" t="s">
        <v>175</v>
      </c>
    </row>
  </sheetData>
  <mergeCells count="1">
    <mergeCell ref="A1:D1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2"/>
  <sheetViews>
    <sheetView topLeftCell="A45" workbookViewId="0">
      <selection sqref="A1:D1"/>
    </sheetView>
  </sheetViews>
  <sheetFormatPr defaultRowHeight="14" x14ac:dyDescent="0.25"/>
  <cols>
    <col min="1" max="1" width="8" customWidth="1"/>
    <col min="2" max="2" width="12" customWidth="1"/>
    <col min="3" max="4" width="15" customWidth="1"/>
  </cols>
  <sheetData>
    <row r="1" spans="1:4" ht="17.5" x14ac:dyDescent="0.3">
      <c r="A1" s="9" t="s">
        <v>176</v>
      </c>
      <c r="B1" s="10"/>
      <c r="C1" s="10"/>
      <c r="D1" s="10"/>
    </row>
    <row r="2" spans="1:4" ht="15" x14ac:dyDescent="0.25">
      <c r="A2" s="1" t="s">
        <v>0</v>
      </c>
      <c r="B2" s="1" t="s">
        <v>2</v>
      </c>
      <c r="C2" s="1" t="s">
        <v>3</v>
      </c>
      <c r="D2" s="1" t="s">
        <v>177</v>
      </c>
    </row>
    <row r="3" spans="1:4" x14ac:dyDescent="0.25">
      <c r="A3">
        <v>1</v>
      </c>
      <c r="B3" t="s">
        <v>178</v>
      </c>
      <c r="C3" t="s">
        <v>179</v>
      </c>
      <c r="D3" t="s">
        <v>180</v>
      </c>
    </row>
    <row r="4" spans="1:4" x14ac:dyDescent="0.25">
      <c r="A4">
        <v>2</v>
      </c>
      <c r="B4" t="s">
        <v>181</v>
      </c>
      <c r="C4" t="s">
        <v>182</v>
      </c>
      <c r="D4" t="s">
        <v>180</v>
      </c>
    </row>
    <row r="5" spans="1:4" x14ac:dyDescent="0.25">
      <c r="A5">
        <v>3</v>
      </c>
      <c r="B5" t="s">
        <v>183</v>
      </c>
      <c r="C5" t="s">
        <v>184</v>
      </c>
      <c r="D5" t="s">
        <v>180</v>
      </c>
    </row>
    <row r="6" spans="1:4" x14ac:dyDescent="0.25">
      <c r="A6">
        <v>4</v>
      </c>
      <c r="B6" t="s">
        <v>185</v>
      </c>
      <c r="C6" t="s">
        <v>186</v>
      </c>
      <c r="D6" t="s">
        <v>180</v>
      </c>
    </row>
    <row r="7" spans="1:4" x14ac:dyDescent="0.25">
      <c r="A7">
        <v>5</v>
      </c>
      <c r="B7" t="s">
        <v>187</v>
      </c>
      <c r="C7" t="s">
        <v>188</v>
      </c>
      <c r="D7" t="s">
        <v>180</v>
      </c>
    </row>
    <row r="8" spans="1:4" x14ac:dyDescent="0.25">
      <c r="A8">
        <v>6</v>
      </c>
      <c r="B8" t="s">
        <v>189</v>
      </c>
      <c r="C8" t="s">
        <v>190</v>
      </c>
      <c r="D8" t="s">
        <v>180</v>
      </c>
    </row>
    <row r="9" spans="1:4" x14ac:dyDescent="0.25">
      <c r="A9">
        <v>7</v>
      </c>
      <c r="B9" t="s">
        <v>191</v>
      </c>
      <c r="C9" t="s">
        <v>192</v>
      </c>
      <c r="D9" t="s">
        <v>180</v>
      </c>
    </row>
    <row r="10" spans="1:4" x14ac:dyDescent="0.25">
      <c r="A10">
        <v>8</v>
      </c>
      <c r="B10" t="s">
        <v>193</v>
      </c>
      <c r="C10" t="s">
        <v>194</v>
      </c>
      <c r="D10" t="s">
        <v>180</v>
      </c>
    </row>
    <row r="11" spans="1:4" x14ac:dyDescent="0.25">
      <c r="A11">
        <v>9</v>
      </c>
      <c r="B11" t="s">
        <v>195</v>
      </c>
      <c r="C11" t="s">
        <v>196</v>
      </c>
      <c r="D11" t="s">
        <v>180</v>
      </c>
    </row>
    <row r="12" spans="1:4" x14ac:dyDescent="0.25">
      <c r="A12">
        <v>10</v>
      </c>
      <c r="B12" t="s">
        <v>197</v>
      </c>
      <c r="C12" t="s">
        <v>198</v>
      </c>
      <c r="D12" t="s">
        <v>180</v>
      </c>
    </row>
    <row r="13" spans="1:4" x14ac:dyDescent="0.25">
      <c r="A13">
        <v>11</v>
      </c>
      <c r="B13" t="s">
        <v>199</v>
      </c>
      <c r="C13" t="s">
        <v>200</v>
      </c>
      <c r="D13" t="s">
        <v>180</v>
      </c>
    </row>
    <row r="14" spans="1:4" x14ac:dyDescent="0.25">
      <c r="A14">
        <v>12</v>
      </c>
      <c r="B14" t="s">
        <v>201</v>
      </c>
      <c r="C14" t="s">
        <v>202</v>
      </c>
      <c r="D14" t="s">
        <v>180</v>
      </c>
    </row>
    <row r="15" spans="1:4" x14ac:dyDescent="0.25">
      <c r="A15">
        <v>13</v>
      </c>
      <c r="B15" t="s">
        <v>203</v>
      </c>
      <c r="C15" t="s">
        <v>204</v>
      </c>
      <c r="D15" t="s">
        <v>180</v>
      </c>
    </row>
    <row r="16" spans="1:4" x14ac:dyDescent="0.25">
      <c r="A16">
        <v>14</v>
      </c>
      <c r="B16" t="s">
        <v>205</v>
      </c>
      <c r="C16" t="s">
        <v>206</v>
      </c>
      <c r="D16" t="s">
        <v>180</v>
      </c>
    </row>
    <row r="17" spans="1:4" x14ac:dyDescent="0.25">
      <c r="A17">
        <v>15</v>
      </c>
      <c r="B17" t="s">
        <v>207</v>
      </c>
      <c r="C17" t="s">
        <v>208</v>
      </c>
      <c r="D17" t="s">
        <v>180</v>
      </c>
    </row>
    <row r="18" spans="1:4" x14ac:dyDescent="0.25">
      <c r="A18">
        <v>16</v>
      </c>
      <c r="B18" t="s">
        <v>209</v>
      </c>
      <c r="C18" t="s">
        <v>210</v>
      </c>
      <c r="D18" t="s">
        <v>211</v>
      </c>
    </row>
    <row r="19" spans="1:4" x14ac:dyDescent="0.25">
      <c r="A19">
        <v>17</v>
      </c>
      <c r="B19" t="s">
        <v>212</v>
      </c>
      <c r="C19" t="s">
        <v>213</v>
      </c>
      <c r="D19" t="s">
        <v>211</v>
      </c>
    </row>
    <row r="20" spans="1:4" x14ac:dyDescent="0.25">
      <c r="A20">
        <v>18</v>
      </c>
      <c r="B20" t="s">
        <v>214</v>
      </c>
      <c r="C20" t="s">
        <v>215</v>
      </c>
      <c r="D20" t="s">
        <v>211</v>
      </c>
    </row>
    <row r="21" spans="1:4" x14ac:dyDescent="0.25">
      <c r="A21">
        <v>19</v>
      </c>
      <c r="B21" t="s">
        <v>216</v>
      </c>
      <c r="C21" t="s">
        <v>217</v>
      </c>
      <c r="D21" t="s">
        <v>211</v>
      </c>
    </row>
    <row r="22" spans="1:4" x14ac:dyDescent="0.25">
      <c r="A22">
        <v>20</v>
      </c>
      <c r="B22" t="s">
        <v>218</v>
      </c>
      <c r="C22" t="s">
        <v>219</v>
      </c>
      <c r="D22" t="s">
        <v>211</v>
      </c>
    </row>
    <row r="23" spans="1:4" x14ac:dyDescent="0.25">
      <c r="A23">
        <v>21</v>
      </c>
      <c r="B23" t="s">
        <v>220</v>
      </c>
      <c r="C23" t="s">
        <v>221</v>
      </c>
      <c r="D23" t="s">
        <v>211</v>
      </c>
    </row>
    <row r="24" spans="1:4" x14ac:dyDescent="0.25">
      <c r="A24">
        <v>22</v>
      </c>
      <c r="B24" t="s">
        <v>222</v>
      </c>
      <c r="C24" t="s">
        <v>223</v>
      </c>
      <c r="D24" t="s">
        <v>211</v>
      </c>
    </row>
    <row r="25" spans="1:4" x14ac:dyDescent="0.25">
      <c r="A25">
        <v>23</v>
      </c>
      <c r="B25" t="s">
        <v>224</v>
      </c>
      <c r="C25" t="s">
        <v>225</v>
      </c>
      <c r="D25" t="s">
        <v>211</v>
      </c>
    </row>
    <row r="26" spans="1:4" x14ac:dyDescent="0.25">
      <c r="A26">
        <v>24</v>
      </c>
      <c r="B26" t="s">
        <v>226</v>
      </c>
      <c r="C26" t="s">
        <v>227</v>
      </c>
      <c r="D26" t="s">
        <v>211</v>
      </c>
    </row>
    <row r="27" spans="1:4" x14ac:dyDescent="0.25">
      <c r="A27">
        <v>25</v>
      </c>
      <c r="B27" t="s">
        <v>228</v>
      </c>
      <c r="C27" t="s">
        <v>229</v>
      </c>
      <c r="D27" t="s">
        <v>211</v>
      </c>
    </row>
    <row r="28" spans="1:4" x14ac:dyDescent="0.25">
      <c r="A28">
        <v>26</v>
      </c>
      <c r="B28" t="s">
        <v>230</v>
      </c>
      <c r="C28" t="s">
        <v>231</v>
      </c>
      <c r="D28" t="s">
        <v>211</v>
      </c>
    </row>
    <row r="29" spans="1:4" x14ac:dyDescent="0.25">
      <c r="A29">
        <v>27</v>
      </c>
      <c r="B29" t="s">
        <v>232</v>
      </c>
      <c r="C29" t="s">
        <v>233</v>
      </c>
      <c r="D29" t="s">
        <v>211</v>
      </c>
    </row>
    <row r="30" spans="1:4" x14ac:dyDescent="0.25">
      <c r="A30">
        <v>28</v>
      </c>
      <c r="B30" t="s">
        <v>234</v>
      </c>
      <c r="C30" t="s">
        <v>235</v>
      </c>
      <c r="D30" t="s">
        <v>211</v>
      </c>
    </row>
    <row r="31" spans="1:4" x14ac:dyDescent="0.25">
      <c r="A31">
        <v>29</v>
      </c>
      <c r="B31" t="s">
        <v>236</v>
      </c>
      <c r="C31" t="s">
        <v>237</v>
      </c>
      <c r="D31" t="s">
        <v>238</v>
      </c>
    </row>
    <row r="32" spans="1:4" x14ac:dyDescent="0.25">
      <c r="A32">
        <v>30</v>
      </c>
      <c r="B32" t="s">
        <v>239</v>
      </c>
      <c r="C32" t="s">
        <v>240</v>
      </c>
      <c r="D32" t="s">
        <v>238</v>
      </c>
    </row>
    <row r="33" spans="1:4" x14ac:dyDescent="0.25">
      <c r="A33">
        <v>31</v>
      </c>
      <c r="B33" t="s">
        <v>241</v>
      </c>
      <c r="C33" t="s">
        <v>242</v>
      </c>
      <c r="D33" t="s">
        <v>238</v>
      </c>
    </row>
    <row r="34" spans="1:4" x14ac:dyDescent="0.25">
      <c r="A34">
        <v>32</v>
      </c>
      <c r="B34" t="s">
        <v>243</v>
      </c>
      <c r="C34" t="s">
        <v>244</v>
      </c>
      <c r="D34" t="s">
        <v>238</v>
      </c>
    </row>
    <row r="35" spans="1:4" x14ac:dyDescent="0.25">
      <c r="A35">
        <v>33</v>
      </c>
      <c r="B35" t="s">
        <v>222</v>
      </c>
      <c r="C35" t="s">
        <v>223</v>
      </c>
      <c r="D35" t="s">
        <v>238</v>
      </c>
    </row>
    <row r="36" spans="1:4" x14ac:dyDescent="0.25">
      <c r="A36">
        <v>34</v>
      </c>
      <c r="B36" t="s">
        <v>245</v>
      </c>
      <c r="C36" t="s">
        <v>246</v>
      </c>
      <c r="D36" t="s">
        <v>238</v>
      </c>
    </row>
    <row r="37" spans="1:4" x14ac:dyDescent="0.25">
      <c r="A37">
        <v>35</v>
      </c>
      <c r="B37" t="s">
        <v>247</v>
      </c>
      <c r="C37" t="s">
        <v>248</v>
      </c>
      <c r="D37" t="s">
        <v>238</v>
      </c>
    </row>
    <row r="38" spans="1:4" x14ac:dyDescent="0.25">
      <c r="A38">
        <v>36</v>
      </c>
      <c r="B38" t="s">
        <v>249</v>
      </c>
      <c r="C38" t="s">
        <v>250</v>
      </c>
      <c r="D38" t="s">
        <v>238</v>
      </c>
    </row>
    <row r="39" spans="1:4" x14ac:dyDescent="0.25">
      <c r="A39">
        <v>37</v>
      </c>
      <c r="B39" t="s">
        <v>251</v>
      </c>
      <c r="C39" t="s">
        <v>252</v>
      </c>
      <c r="D39" t="s">
        <v>238</v>
      </c>
    </row>
    <row r="40" spans="1:4" x14ac:dyDescent="0.25">
      <c r="A40">
        <v>38</v>
      </c>
      <c r="B40" t="s">
        <v>253</v>
      </c>
      <c r="C40" t="s">
        <v>254</v>
      </c>
      <c r="D40" t="s">
        <v>238</v>
      </c>
    </row>
    <row r="41" spans="1:4" x14ac:dyDescent="0.25">
      <c r="A41">
        <v>39</v>
      </c>
      <c r="B41" t="s">
        <v>255</v>
      </c>
      <c r="C41" t="s">
        <v>256</v>
      </c>
      <c r="D41" t="s">
        <v>238</v>
      </c>
    </row>
    <row r="42" spans="1:4" x14ac:dyDescent="0.25">
      <c r="A42">
        <v>40</v>
      </c>
      <c r="B42" t="s">
        <v>257</v>
      </c>
      <c r="C42" t="s">
        <v>258</v>
      </c>
      <c r="D42" t="s">
        <v>238</v>
      </c>
    </row>
    <row r="43" spans="1:4" x14ac:dyDescent="0.25">
      <c r="A43">
        <v>41</v>
      </c>
      <c r="B43" t="s">
        <v>259</v>
      </c>
      <c r="C43" t="s">
        <v>260</v>
      </c>
      <c r="D43" t="s">
        <v>261</v>
      </c>
    </row>
    <row r="44" spans="1:4" x14ac:dyDescent="0.25">
      <c r="A44">
        <v>42</v>
      </c>
      <c r="B44" t="s">
        <v>262</v>
      </c>
      <c r="C44" t="s">
        <v>263</v>
      </c>
      <c r="D44" t="s">
        <v>261</v>
      </c>
    </row>
    <row r="45" spans="1:4" x14ac:dyDescent="0.25">
      <c r="A45">
        <v>43</v>
      </c>
      <c r="B45" t="s">
        <v>264</v>
      </c>
      <c r="C45" t="s">
        <v>265</v>
      </c>
      <c r="D45" t="s">
        <v>261</v>
      </c>
    </row>
    <row r="46" spans="1:4" x14ac:dyDescent="0.25">
      <c r="A46">
        <v>44</v>
      </c>
      <c r="B46" t="s">
        <v>266</v>
      </c>
      <c r="C46" t="s">
        <v>267</v>
      </c>
      <c r="D46" t="s">
        <v>261</v>
      </c>
    </row>
    <row r="47" spans="1:4" x14ac:dyDescent="0.25">
      <c r="A47">
        <v>45</v>
      </c>
      <c r="B47" t="s">
        <v>268</v>
      </c>
      <c r="C47" t="s">
        <v>269</v>
      </c>
      <c r="D47" t="s">
        <v>261</v>
      </c>
    </row>
    <row r="48" spans="1:4" x14ac:dyDescent="0.25">
      <c r="A48">
        <v>46</v>
      </c>
      <c r="B48" t="s">
        <v>270</v>
      </c>
      <c r="C48" t="s">
        <v>271</v>
      </c>
      <c r="D48" t="s">
        <v>261</v>
      </c>
    </row>
    <row r="49" spans="1:4" x14ac:dyDescent="0.25">
      <c r="A49">
        <v>47</v>
      </c>
      <c r="B49" t="s">
        <v>272</v>
      </c>
      <c r="C49" t="s">
        <v>273</v>
      </c>
      <c r="D49" t="s">
        <v>261</v>
      </c>
    </row>
    <row r="50" spans="1:4" x14ac:dyDescent="0.25">
      <c r="A50">
        <v>48</v>
      </c>
      <c r="B50" t="s">
        <v>274</v>
      </c>
      <c r="C50" t="s">
        <v>275</v>
      </c>
      <c r="D50" t="s">
        <v>261</v>
      </c>
    </row>
    <row r="51" spans="1:4" x14ac:dyDescent="0.25">
      <c r="A51">
        <v>49</v>
      </c>
      <c r="B51" t="s">
        <v>276</v>
      </c>
      <c r="C51" t="s">
        <v>277</v>
      </c>
      <c r="D51" t="s">
        <v>261</v>
      </c>
    </row>
    <row r="52" spans="1:4" x14ac:dyDescent="0.25">
      <c r="A52">
        <v>50</v>
      </c>
      <c r="B52" t="s">
        <v>278</v>
      </c>
      <c r="C52" t="s">
        <v>260</v>
      </c>
      <c r="D52" t="s">
        <v>261</v>
      </c>
    </row>
    <row r="53" spans="1:4" x14ac:dyDescent="0.25">
      <c r="A53">
        <v>51</v>
      </c>
      <c r="B53" t="s">
        <v>279</v>
      </c>
      <c r="C53" t="s">
        <v>280</v>
      </c>
      <c r="D53" t="s">
        <v>261</v>
      </c>
    </row>
    <row r="54" spans="1:4" x14ac:dyDescent="0.25">
      <c r="A54">
        <v>52</v>
      </c>
      <c r="B54" t="s">
        <v>281</v>
      </c>
      <c r="C54" t="s">
        <v>282</v>
      </c>
      <c r="D54" t="s">
        <v>261</v>
      </c>
    </row>
    <row r="55" spans="1:4" x14ac:dyDescent="0.25">
      <c r="A55">
        <v>53</v>
      </c>
      <c r="B55" t="s">
        <v>283</v>
      </c>
      <c r="C55" t="s">
        <v>284</v>
      </c>
      <c r="D55" t="s">
        <v>261</v>
      </c>
    </row>
    <row r="56" spans="1:4" x14ac:dyDescent="0.25">
      <c r="A56">
        <v>54</v>
      </c>
      <c r="B56" t="s">
        <v>285</v>
      </c>
      <c r="C56" t="s">
        <v>286</v>
      </c>
      <c r="D56" t="s">
        <v>261</v>
      </c>
    </row>
    <row r="57" spans="1:4" x14ac:dyDescent="0.25">
      <c r="A57">
        <v>55</v>
      </c>
      <c r="B57" t="s">
        <v>287</v>
      </c>
      <c r="C57" t="s">
        <v>288</v>
      </c>
      <c r="D57" t="s">
        <v>289</v>
      </c>
    </row>
    <row r="58" spans="1:4" x14ac:dyDescent="0.25">
      <c r="A58">
        <v>56</v>
      </c>
      <c r="B58" t="s">
        <v>290</v>
      </c>
      <c r="C58" t="s">
        <v>291</v>
      </c>
      <c r="D58" t="s">
        <v>289</v>
      </c>
    </row>
    <row r="59" spans="1:4" x14ac:dyDescent="0.25">
      <c r="A59">
        <v>57</v>
      </c>
      <c r="B59" t="s">
        <v>292</v>
      </c>
      <c r="C59" t="s">
        <v>293</v>
      </c>
      <c r="D59" t="s">
        <v>289</v>
      </c>
    </row>
    <row r="60" spans="1:4" x14ac:dyDescent="0.25">
      <c r="A60">
        <v>58</v>
      </c>
      <c r="B60" t="s">
        <v>294</v>
      </c>
      <c r="C60" t="s">
        <v>295</v>
      </c>
      <c r="D60" t="s">
        <v>289</v>
      </c>
    </row>
    <row r="61" spans="1:4" x14ac:dyDescent="0.25">
      <c r="A61">
        <v>59</v>
      </c>
      <c r="B61" t="s">
        <v>296</v>
      </c>
      <c r="C61" t="s">
        <v>297</v>
      </c>
      <c r="D61" t="s">
        <v>289</v>
      </c>
    </row>
    <row r="62" spans="1:4" x14ac:dyDescent="0.25">
      <c r="A62">
        <v>60</v>
      </c>
      <c r="B62" t="s">
        <v>298</v>
      </c>
      <c r="C62" t="s">
        <v>299</v>
      </c>
      <c r="D62" t="s">
        <v>289</v>
      </c>
    </row>
  </sheetData>
  <mergeCells count="1">
    <mergeCell ref="A1:D1"/>
  </mergeCells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9"/>
  <sheetViews>
    <sheetView topLeftCell="A15" workbookViewId="0">
      <selection activeCell="B25" sqref="B25"/>
    </sheetView>
  </sheetViews>
  <sheetFormatPr defaultRowHeight="14" x14ac:dyDescent="0.25"/>
  <cols>
    <col min="1" max="1" width="18" customWidth="1"/>
    <col min="2" max="2" width="20" customWidth="1"/>
    <col min="3" max="3" width="15" customWidth="1"/>
  </cols>
  <sheetData>
    <row r="1" spans="1:3" ht="21" x14ac:dyDescent="0.4">
      <c r="A1" s="12" t="s">
        <v>300</v>
      </c>
      <c r="B1" s="10"/>
      <c r="C1" s="10"/>
    </row>
    <row r="3" spans="1:3" ht="15" x14ac:dyDescent="0.25">
      <c r="A3" s="8" t="s">
        <v>301</v>
      </c>
    </row>
    <row r="4" spans="1:3" x14ac:dyDescent="0.25">
      <c r="A4" t="s">
        <v>71</v>
      </c>
      <c r="B4" t="s">
        <v>72</v>
      </c>
    </row>
    <row r="5" spans="1:3" x14ac:dyDescent="0.25">
      <c r="A5" t="s">
        <v>75</v>
      </c>
      <c r="B5" t="s">
        <v>76</v>
      </c>
    </row>
    <row r="6" spans="1:3" x14ac:dyDescent="0.25">
      <c r="A6" t="s">
        <v>24</v>
      </c>
      <c r="B6" t="s">
        <v>78</v>
      </c>
    </row>
    <row r="7" spans="1:3" x14ac:dyDescent="0.25">
      <c r="A7" t="s">
        <v>80</v>
      </c>
      <c r="B7" t="s">
        <v>81</v>
      </c>
    </row>
    <row r="8" spans="1:3" x14ac:dyDescent="0.25">
      <c r="A8" t="s">
        <v>83</v>
      </c>
      <c r="B8" t="s">
        <v>84</v>
      </c>
    </row>
    <row r="10" spans="1:3" ht="15" x14ac:dyDescent="0.25">
      <c r="A10" s="8" t="s">
        <v>302</v>
      </c>
    </row>
    <row r="11" spans="1:3" x14ac:dyDescent="0.25">
      <c r="A11" t="s">
        <v>303</v>
      </c>
      <c r="B11" t="s">
        <v>65</v>
      </c>
    </row>
    <row r="12" spans="1:3" x14ac:dyDescent="0.25">
      <c r="A12" t="s">
        <v>304</v>
      </c>
      <c r="B12" t="s">
        <v>68</v>
      </c>
    </row>
    <row r="14" spans="1:3" ht="15" x14ac:dyDescent="0.25">
      <c r="A14" s="8" t="s">
        <v>305</v>
      </c>
    </row>
    <row r="15" spans="1:3" x14ac:dyDescent="0.25">
      <c r="A15" t="s">
        <v>87</v>
      </c>
      <c r="B15" t="s">
        <v>306</v>
      </c>
    </row>
    <row r="16" spans="1:3" x14ac:dyDescent="0.25">
      <c r="A16" t="s">
        <v>90</v>
      </c>
      <c r="B16" t="s">
        <v>307</v>
      </c>
    </row>
    <row r="17" spans="1:2" x14ac:dyDescent="0.25">
      <c r="A17" t="s">
        <v>93</v>
      </c>
      <c r="B17" t="s">
        <v>94</v>
      </c>
    </row>
    <row r="18" spans="1:2" x14ac:dyDescent="0.25">
      <c r="A18" t="s">
        <v>308</v>
      </c>
      <c r="B18" t="s">
        <v>309</v>
      </c>
    </row>
    <row r="19" spans="1:2" x14ac:dyDescent="0.25">
      <c r="A19" t="s">
        <v>310</v>
      </c>
      <c r="B19" t="s">
        <v>103</v>
      </c>
    </row>
    <row r="20" spans="1:2" x14ac:dyDescent="0.25">
      <c r="A20" t="s">
        <v>106</v>
      </c>
      <c r="B20" t="s">
        <v>311</v>
      </c>
    </row>
    <row r="21" spans="1:2" x14ac:dyDescent="0.25">
      <c r="A21" t="s">
        <v>109</v>
      </c>
      <c r="B21" t="s">
        <v>312</v>
      </c>
    </row>
    <row r="23" spans="1:2" ht="15" x14ac:dyDescent="0.25">
      <c r="A23" s="8" t="s">
        <v>313</v>
      </c>
    </row>
    <row r="24" spans="1:2" x14ac:dyDescent="0.25">
      <c r="A24" t="s">
        <v>113</v>
      </c>
      <c r="B24" t="s">
        <v>114</v>
      </c>
    </row>
    <row r="25" spans="1:2" x14ac:dyDescent="0.25">
      <c r="A25" t="s">
        <v>116</v>
      </c>
      <c r="B25" t="s">
        <v>117</v>
      </c>
    </row>
    <row r="26" spans="1:2" x14ac:dyDescent="0.25">
      <c r="A26" t="s">
        <v>118</v>
      </c>
      <c r="B26" t="s">
        <v>314</v>
      </c>
    </row>
    <row r="27" spans="1:2" x14ac:dyDescent="0.25">
      <c r="A27" t="s">
        <v>121</v>
      </c>
      <c r="B27" t="s">
        <v>122</v>
      </c>
    </row>
    <row r="28" spans="1:2" x14ac:dyDescent="0.25">
      <c r="A28" t="s">
        <v>124</v>
      </c>
      <c r="B28" t="s">
        <v>125</v>
      </c>
    </row>
    <row r="29" spans="1:2" x14ac:dyDescent="0.25">
      <c r="A29" t="s">
        <v>127</v>
      </c>
      <c r="B29" t="s">
        <v>315</v>
      </c>
    </row>
  </sheetData>
  <mergeCells count="1">
    <mergeCell ref="A1:C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交易记录</vt:lpstr>
      <vt:lpstr>当前持仓</vt:lpstr>
      <vt:lpstr>绩效统计</vt:lpstr>
      <vt:lpstr>策略参数</vt:lpstr>
      <vt:lpstr>使用说明</vt:lpstr>
      <vt:lpstr>股票池</vt:lpstr>
      <vt:lpstr>参数速查卡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楠 黄</cp:lastModifiedBy>
  <dcterms:created xsi:type="dcterms:W3CDTF">2025-12-24T15:15:19Z</dcterms:created>
  <dcterms:modified xsi:type="dcterms:W3CDTF">2025-12-24T15:21:40Z</dcterms:modified>
</cp:coreProperties>
</file>